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QUANT\data\live_prices\"/>
    </mc:Choice>
  </mc:AlternateContent>
  <bookViews>
    <workbookView xWindow="35970" yWindow="0" windowWidth="21660" windowHeight="12945"/>
  </bookViews>
  <sheets>
    <sheet name="Prices" sheetId="1" r:id="rId1"/>
    <sheet name="RealTickCodes" sheetId="2" r:id="rId2"/>
    <sheet name="TickerList" sheetId="3" r:id="rId3"/>
  </sheets>
  <functionGroups builtInGroupCount="18"/>
  <externalReferences>
    <externalReference r:id="rId4"/>
  </externalReferences>
  <calcPr calcId="152511"/>
</workbook>
</file>

<file path=xl/calcChain.xml><?xml version="1.0" encoding="utf-8"?>
<calcChain xmlns="http://schemas.openxmlformats.org/spreadsheetml/2006/main">
  <c r="B11" i="2" l="1"/>
  <c r="B5" i="2"/>
  <c r="J5" i="1"/>
  <c r="I5" i="1"/>
  <c r="H5" i="1"/>
  <c r="G5" i="1"/>
  <c r="F5" i="1"/>
  <c r="E5" i="1"/>
  <c r="D5" i="1"/>
</calcChain>
</file>

<file path=xl/sharedStrings.xml><?xml version="1.0" encoding="utf-8"?>
<sst xmlns="http://schemas.openxmlformats.org/spreadsheetml/2006/main" count="1661" uniqueCount="834">
  <si>
    <t>MMM</t>
  </si>
  <si>
    <t>AYI</t>
  </si>
  <si>
    <t>ALK</t>
  </si>
  <si>
    <t>ALLE</t>
  </si>
  <si>
    <t>AAL</t>
  </si>
  <si>
    <t>AME</t>
  </si>
  <si>
    <t>ARNC</t>
  </si>
  <si>
    <t>BA</t>
  </si>
  <si>
    <t>CHRW</t>
  </si>
  <si>
    <t>CAT</t>
  </si>
  <si>
    <t>CTAS</t>
  </si>
  <si>
    <t>CSX</t>
  </si>
  <si>
    <t>CMI</t>
  </si>
  <si>
    <t>DE</t>
  </si>
  <si>
    <t>DAL</t>
  </si>
  <si>
    <t>DOV</t>
  </si>
  <si>
    <t>DNB</t>
  </si>
  <si>
    <t>ETN</t>
  </si>
  <si>
    <t>EMR</t>
  </si>
  <si>
    <t>EFX</t>
  </si>
  <si>
    <t>EXPD</t>
  </si>
  <si>
    <t>FAST</t>
  </si>
  <si>
    <t>FDX</t>
  </si>
  <si>
    <t>FLS</t>
  </si>
  <si>
    <t>FLR</t>
  </si>
  <si>
    <t>FTV</t>
  </si>
  <si>
    <t>FBHS</t>
  </si>
  <si>
    <t>GD</t>
  </si>
  <si>
    <t>GE</t>
  </si>
  <si>
    <t>GWW</t>
  </si>
  <si>
    <t>HRS</t>
  </si>
  <si>
    <t>HON</t>
  </si>
  <si>
    <t>ITW</t>
  </si>
  <si>
    <t>IR</t>
  </si>
  <si>
    <t>JBHT</t>
  </si>
  <si>
    <t>JEC</t>
  </si>
  <si>
    <t>JCI</t>
  </si>
  <si>
    <t>KSU</t>
  </si>
  <si>
    <t>LLL</t>
  </si>
  <si>
    <t>LMT</t>
  </si>
  <si>
    <t>LOW</t>
  </si>
  <si>
    <t>MAS</t>
  </si>
  <si>
    <t>NLSN</t>
  </si>
  <si>
    <t>NSC</t>
  </si>
  <si>
    <t>NOC</t>
  </si>
  <si>
    <t>PCAR</t>
  </si>
  <si>
    <t>PH</t>
  </si>
  <si>
    <t>PNR</t>
  </si>
  <si>
    <t>PWR</t>
  </si>
  <si>
    <t>RTN</t>
  </si>
  <si>
    <t>RSG</t>
  </si>
  <si>
    <t>RHI</t>
  </si>
  <si>
    <t>ROK</t>
  </si>
  <si>
    <t>COL</t>
  </si>
  <si>
    <t>ROP</t>
  </si>
  <si>
    <t>R</t>
  </si>
  <si>
    <t>SNA</t>
  </si>
  <si>
    <t>LUV</t>
  </si>
  <si>
    <t>SWK</t>
  </si>
  <si>
    <t>SRCL</t>
  </si>
  <si>
    <t>TXT</t>
  </si>
  <si>
    <t>TDG</t>
  </si>
  <si>
    <t>UNP</t>
  </si>
  <si>
    <t>UAL</t>
  </si>
  <si>
    <t>UPS</t>
  </si>
  <si>
    <t>URI</t>
  </si>
  <si>
    <t>UTX</t>
  </si>
  <si>
    <t>VRSK</t>
  </si>
  <si>
    <t>WM</t>
  </si>
  <si>
    <t>XYL</t>
  </si>
  <si>
    <t>This table is a static lookup table for RealTick Field Ids</t>
  </si>
  <si>
    <t>Lookup Value</t>
  </si>
  <si>
    <t>RealTick FieldID</t>
  </si>
  <si>
    <t>Formula</t>
  </si>
  <si>
    <t>Notes</t>
  </si>
  <si>
    <t>CLOSE</t>
  </si>
  <si>
    <t>RLTKData</t>
  </si>
  <si>
    <t>* Use Last Price if after the close, Close does not update immediately</t>
  </si>
  <si>
    <t>VWAP</t>
  </si>
  <si>
    <t>LAST</t>
  </si>
  <si>
    <t>NET POSITION</t>
  </si>
  <si>
    <t>RLTKPos</t>
  </si>
  <si>
    <t>AVERAGE PRICE</t>
  </si>
  <si>
    <t>PRE_POST</t>
  </si>
  <si>
    <t>RECENT</t>
  </si>
  <si>
    <t>*Use the pre_post function for before/after market and Last for market hours</t>
  </si>
  <si>
    <t>Save Location</t>
  </si>
  <si>
    <t>Q:/QUANT/data/live_prices/prices.csv</t>
  </si>
  <si>
    <t>OPEN</t>
  </si>
  <si>
    <t>HIGH</t>
  </si>
  <si>
    <t>VOLUME</t>
  </si>
  <si>
    <t>SecCode</t>
  </si>
  <si>
    <t>Ticker</t>
  </si>
  <si>
    <t>Issuer</t>
  </si>
  <si>
    <t>AAON</t>
  </si>
  <si>
    <t>AAON INC</t>
  </si>
  <si>
    <t>AIR</t>
  </si>
  <si>
    <t>AAR CORP</t>
  </si>
  <si>
    <t>ATSG</t>
  </si>
  <si>
    <t>AIR TRANSPORT SERVICES GRP I</t>
  </si>
  <si>
    <t>ACCO</t>
  </si>
  <si>
    <t>ACCO BRANDS CORP</t>
  </si>
  <si>
    <t>ABM</t>
  </si>
  <si>
    <t>ABM INDS INC</t>
  </si>
  <si>
    <t>AGCO</t>
  </si>
  <si>
    <t>AGCO CORP</t>
  </si>
  <si>
    <t>AZZ</t>
  </si>
  <si>
    <t>AZZ INC</t>
  </si>
  <si>
    <t>ATU</t>
  </si>
  <si>
    <t>ACTUANT CORP</t>
  </si>
  <si>
    <t>ACUITY BRANDS INC</t>
  </si>
  <si>
    <t>NSP</t>
  </si>
  <si>
    <t>INSPERITY INC</t>
  </si>
  <si>
    <t>ALG</t>
  </si>
  <si>
    <t>ALAMO GROUP INC</t>
  </si>
  <si>
    <t>ALASKA AIR GROUP INC</t>
  </si>
  <si>
    <t>AIN</t>
  </si>
  <si>
    <t>ALBANY INTL CORP</t>
  </si>
  <si>
    <t>ARCONIC INC</t>
  </si>
  <si>
    <t>MATX</t>
  </si>
  <si>
    <t>MATSON INC</t>
  </si>
  <si>
    <t>OA</t>
  </si>
  <si>
    <t>ORBITAL ATK INC</t>
  </si>
  <si>
    <t>AMOT</t>
  </si>
  <si>
    <t>ALLIED MOTION TECHNOLOGIES I</t>
  </si>
  <si>
    <t>UHAL</t>
  </si>
  <si>
    <t>AMERCO</t>
  </si>
  <si>
    <t>ECOL</t>
  </si>
  <si>
    <t>US ECOLOGY INC</t>
  </si>
  <si>
    <t>ARII</t>
  </si>
  <si>
    <t>AMERICAN RAILCAR INDS INC</t>
  </si>
  <si>
    <t>AMWD</t>
  </si>
  <si>
    <t>AMETEK INC NEW</t>
  </si>
  <si>
    <t>APOG</t>
  </si>
  <si>
    <t>APOGEE ENTERPRISES INC</t>
  </si>
  <si>
    <t>AIT</t>
  </si>
  <si>
    <t>APPLIED INDL TECHNOLOGIES INC</t>
  </si>
  <si>
    <t>AGX</t>
  </si>
  <si>
    <t>ARGAN INC</t>
  </si>
  <si>
    <t>ARCB</t>
  </si>
  <si>
    <t>ARCBEST CORP</t>
  </si>
  <si>
    <t>MTOR</t>
  </si>
  <si>
    <t>MERITOR INC</t>
  </si>
  <si>
    <t>ASTE</t>
  </si>
  <si>
    <t>ASTEC INDS INC</t>
  </si>
  <si>
    <t>ATRO</t>
  </si>
  <si>
    <t>ASTRONICS CORP</t>
  </si>
  <si>
    <t>AAWW</t>
  </si>
  <si>
    <t>ATLAS AIR WORLDWIDE HLDGS IN</t>
  </si>
  <si>
    <t>B</t>
  </si>
  <si>
    <t>BARNES GROUP INC</t>
  </si>
  <si>
    <t>BBSI</t>
  </si>
  <si>
    <t>BARRETT BUSINESS SERVICES INC</t>
  </si>
  <si>
    <t>BECN</t>
  </si>
  <si>
    <t>BEACON ROOFING SUPPLY INC</t>
  </si>
  <si>
    <t>BOEING CO</t>
  </si>
  <si>
    <t>BRC</t>
  </si>
  <si>
    <t>BRADY CORP</t>
  </si>
  <si>
    <t>BGG</t>
  </si>
  <si>
    <t>BRIGGS &amp; STRATTON CORP</t>
  </si>
  <si>
    <t>BCO</t>
  </si>
  <si>
    <t>BRINKS CO</t>
  </si>
  <si>
    <t>BLDR</t>
  </si>
  <si>
    <t>BUILDERS FIRSTSOURCE INC</t>
  </si>
  <si>
    <t>CAE</t>
  </si>
  <si>
    <t>CAE INC</t>
  </si>
  <si>
    <t>CBZ</t>
  </si>
  <si>
    <t>CBIZ INC</t>
  </si>
  <si>
    <t>C H ROBINSON WORLDWIDE INC</t>
  </si>
  <si>
    <t>CRAI</t>
  </si>
  <si>
    <t>CRA INTL INC</t>
  </si>
  <si>
    <t>CSX CORP</t>
  </si>
  <si>
    <t>CNI</t>
  </si>
  <si>
    <t>CANADIAN NATL RY CO</t>
  </si>
  <si>
    <t>CP</t>
  </si>
  <si>
    <t>CANADIAN PAC RY LTD</t>
  </si>
  <si>
    <t>CSL</t>
  </si>
  <si>
    <t>CARLISLE COS INC</t>
  </si>
  <si>
    <t>CWST</t>
  </si>
  <si>
    <t>CASELLA WASTE SYS INC</t>
  </si>
  <si>
    <t>CATERPILLAR INC DEL</t>
  </si>
  <si>
    <t>CAR</t>
  </si>
  <si>
    <t>AVIS BUDGET GROUP</t>
  </si>
  <si>
    <t>CIR</t>
  </si>
  <si>
    <t>CIRCOR INTL INC</t>
  </si>
  <si>
    <t>CINTAS CORP</t>
  </si>
  <si>
    <t>CLH</t>
  </si>
  <si>
    <t>CLEAN HARBORS INC</t>
  </si>
  <si>
    <t>CMCO</t>
  </si>
  <si>
    <t>COLUMBUS MCKINNON CORP N Y</t>
  </si>
  <si>
    <t>FIX</t>
  </si>
  <si>
    <t>COMFORT SYS USA INC</t>
  </si>
  <si>
    <t>CVGI</t>
  </si>
  <si>
    <t>COMMERCIAL VEH GROUP INC</t>
  </si>
  <si>
    <t>CPRT</t>
  </si>
  <si>
    <t>COPART INC</t>
  </si>
  <si>
    <t>CVA</t>
  </si>
  <si>
    <t>COVANTA HLDG CORP</t>
  </si>
  <si>
    <t>CVTI</t>
  </si>
  <si>
    <t>COVENANT TRANSPORT GROUP INC</t>
  </si>
  <si>
    <t>CR</t>
  </si>
  <si>
    <t>CRANE CO</t>
  </si>
  <si>
    <t>CUB</t>
  </si>
  <si>
    <t>CUBIC CORP</t>
  </si>
  <si>
    <t>CUMMINS INC</t>
  </si>
  <si>
    <t>CW</t>
  </si>
  <si>
    <t>CURTISS WRIGHT CORP</t>
  </si>
  <si>
    <t>DXPE</t>
  </si>
  <si>
    <t>DXP ENTERPRISES INC NEW</t>
  </si>
  <si>
    <t>DEERE &amp; CO</t>
  </si>
  <si>
    <t>DLX</t>
  </si>
  <si>
    <t>DELUXE CORP</t>
  </si>
  <si>
    <t>DCI</t>
  </si>
  <si>
    <t>DONALDSON INC</t>
  </si>
  <si>
    <t>RRD</t>
  </si>
  <si>
    <t>DONNELLEY R R &amp; SONS CO</t>
  </si>
  <si>
    <t>DOVER CORP</t>
  </si>
  <si>
    <t>EVI</t>
  </si>
  <si>
    <t>ENVIROSTAR INC</t>
  </si>
  <si>
    <t>DCO</t>
  </si>
  <si>
    <t>DUCOMMUN INC DEL</t>
  </si>
  <si>
    <t>DUN &amp; BRADSTREET CORP DEL NEW</t>
  </si>
  <si>
    <t>DY</t>
  </si>
  <si>
    <t>DYCOM INDS INC</t>
  </si>
  <si>
    <t>BOOM</t>
  </si>
  <si>
    <t>DMC GLOBAL INC</t>
  </si>
  <si>
    <t>EATON CORP PLC</t>
  </si>
  <si>
    <t>EME</t>
  </si>
  <si>
    <t>EMCOR GROUP INC</t>
  </si>
  <si>
    <t>EMERSON ELEC CO</t>
  </si>
  <si>
    <t>WIRE</t>
  </si>
  <si>
    <t>ENCORE WIRE CORP</t>
  </si>
  <si>
    <t>ENS</t>
  </si>
  <si>
    <t>ENERSYS</t>
  </si>
  <si>
    <t>EBF</t>
  </si>
  <si>
    <t>ENNIS INC</t>
  </si>
  <si>
    <t>NPO</t>
  </si>
  <si>
    <t>ENPRO INDS INC</t>
  </si>
  <si>
    <t>EQUIFAX INC</t>
  </si>
  <si>
    <t>ESE</t>
  </si>
  <si>
    <t>ESCO TECHNOLOGIES INC</t>
  </si>
  <si>
    <t>ESL</t>
  </si>
  <si>
    <t>ESTERLINE TECHNOLOGIES CORP</t>
  </si>
  <si>
    <t>EXPEDITORS INTL WASH INC</t>
  </si>
  <si>
    <t>EXPO</t>
  </si>
  <si>
    <t>EXPONENT INC</t>
  </si>
  <si>
    <t>XPO</t>
  </si>
  <si>
    <t>XPO LOGISTICS INC</t>
  </si>
  <si>
    <t>FCN</t>
  </si>
  <si>
    <t>FTI CONSULTING INC</t>
  </si>
  <si>
    <t>FASTENAL CO</t>
  </si>
  <si>
    <t>FSS</t>
  </si>
  <si>
    <t>FEDERAL SIGNAL CORP</t>
  </si>
  <si>
    <t>FEDEX CORP</t>
  </si>
  <si>
    <t>FLUOR CORP NEW</t>
  </si>
  <si>
    <t>FLOWSERVE CORP</t>
  </si>
  <si>
    <t>FORR</t>
  </si>
  <si>
    <t>FORRESTER RESH INC</t>
  </si>
  <si>
    <t>FWRD</t>
  </si>
  <si>
    <t>FORWARD AIR CORP</t>
  </si>
  <si>
    <t>FSTR</t>
  </si>
  <si>
    <t>FOSTER L B CO</t>
  </si>
  <si>
    <t>FC</t>
  </si>
  <si>
    <t>FRANKLIN COVEY CO</t>
  </si>
  <si>
    <t>FELE</t>
  </si>
  <si>
    <t>FRANKLIN ELEC INC</t>
  </si>
  <si>
    <t>GATX</t>
  </si>
  <si>
    <t>GATX CORP</t>
  </si>
  <si>
    <t>GPX</t>
  </si>
  <si>
    <t>GP STRATEGIES CORP</t>
  </si>
  <si>
    <t>GENC</t>
  </si>
  <si>
    <t>GENCOR INDS INC</t>
  </si>
  <si>
    <t>AJRD</t>
  </si>
  <si>
    <t>AEROJET ROCKETDYNE HLDGS INC</t>
  </si>
  <si>
    <t>BGC</t>
  </si>
  <si>
    <t>GENERAL CABLE CORP DEL NEW</t>
  </si>
  <si>
    <t>GENERAL DYNAMICS CORP</t>
  </si>
  <si>
    <t>GENERAL ELECTRIC CO</t>
  </si>
  <si>
    <t>GWR</t>
  </si>
  <si>
    <t>GENESEE &amp; WYO INC</t>
  </si>
  <si>
    <t>ROCK</t>
  </si>
  <si>
    <t>GIBRALTAR INDS INC</t>
  </si>
  <si>
    <t>GRC</t>
  </si>
  <si>
    <t>GORMAN RUPP CO</t>
  </si>
  <si>
    <t>GGG</t>
  </si>
  <si>
    <t>GRACO INC</t>
  </si>
  <si>
    <t>GHM</t>
  </si>
  <si>
    <t>GRAHAM CORP</t>
  </si>
  <si>
    <t>GRAINGER W W INC</t>
  </si>
  <si>
    <t>GVA</t>
  </si>
  <si>
    <t>GRANITE CONSTR INC</t>
  </si>
  <si>
    <t>GBX</t>
  </si>
  <si>
    <t>GREENBRIER COS INC</t>
  </si>
  <si>
    <t>GFF</t>
  </si>
  <si>
    <t>GRIFFON CORP</t>
  </si>
  <si>
    <t>HEES</t>
  </si>
  <si>
    <t>H &amp; E EQUIPMENT SERVICES INC</t>
  </si>
  <si>
    <t>HNI</t>
  </si>
  <si>
    <t>HNI CORP</t>
  </si>
  <si>
    <t>HARRIS CORP DEL</t>
  </si>
  <si>
    <t>HSC</t>
  </si>
  <si>
    <t>HARSCO CORP</t>
  </si>
  <si>
    <t>HA</t>
  </si>
  <si>
    <t>HAWAIIAN HOLDINGS INC</t>
  </si>
  <si>
    <t>HCSG</t>
  </si>
  <si>
    <t>HEALTHCARE SVCS GRP INC</t>
  </si>
  <si>
    <t>HTLD</t>
  </si>
  <si>
    <t>HEARTLAND EXPRESS INC</t>
  </si>
  <si>
    <t>HEI</t>
  </si>
  <si>
    <t>HEICO CORP NEW</t>
  </si>
  <si>
    <t>HSII</t>
  </si>
  <si>
    <t>HEIDRICK &amp; STRUGGLES INTL INC</t>
  </si>
  <si>
    <t>HXL</t>
  </si>
  <si>
    <t>HEXCEL CORP NEW</t>
  </si>
  <si>
    <t>HIL</t>
  </si>
  <si>
    <t>HILL INTERNATIONAL INC</t>
  </si>
  <si>
    <t>HONEYWELL INTL INC</t>
  </si>
  <si>
    <t>HUBG</t>
  </si>
  <si>
    <t>HUB GROUP INC</t>
  </si>
  <si>
    <t>HUBB</t>
  </si>
  <si>
    <t>HUBBELL INC</t>
  </si>
  <si>
    <t>HUNT J B TRANS SVCS INC</t>
  </si>
  <si>
    <t>HURC</t>
  </si>
  <si>
    <t>HURCO COMPANIES INC</t>
  </si>
  <si>
    <t>HURN</t>
  </si>
  <si>
    <t>HURON CONSULTING GROUP INC</t>
  </si>
  <si>
    <t>ITT</t>
  </si>
  <si>
    <t>ITT INC</t>
  </si>
  <si>
    <t>IEX</t>
  </si>
  <si>
    <t>IDEX CORP</t>
  </si>
  <si>
    <t>ILLINOIS TOOL WKS INC</t>
  </si>
  <si>
    <t>AEGN</t>
  </si>
  <si>
    <t>AEGION CORP</t>
  </si>
  <si>
    <t>IIIN</t>
  </si>
  <si>
    <t>INSTEEL INDUSTRIES INC</t>
  </si>
  <si>
    <t>IESC</t>
  </si>
  <si>
    <t>IES HLDGS INC</t>
  </si>
  <si>
    <t>TILE</t>
  </si>
  <si>
    <t>INTERFACE INC</t>
  </si>
  <si>
    <t>JACOBS ENGR GROUP INC DEL</t>
  </si>
  <si>
    <t>JBLU</t>
  </si>
  <si>
    <t>JETBLUE AIRWAYS CORP</t>
  </si>
  <si>
    <t>KAI</t>
  </si>
  <si>
    <t>KADANT INC</t>
  </si>
  <si>
    <t>KAMN</t>
  </si>
  <si>
    <t>KAMAN CORP</t>
  </si>
  <si>
    <t>KANSAS CITY SOUTHERN</t>
  </si>
  <si>
    <t>KELYA</t>
  </si>
  <si>
    <t>KELLY SVCS INC</t>
  </si>
  <si>
    <t>KMT</t>
  </si>
  <si>
    <t>KENNAMETAL INC</t>
  </si>
  <si>
    <t>KFRC</t>
  </si>
  <si>
    <t>KFORCE INC</t>
  </si>
  <si>
    <t>KBAL</t>
  </si>
  <si>
    <t>KEX</t>
  </si>
  <si>
    <t>KIRBY CORP</t>
  </si>
  <si>
    <t>KNL</t>
  </si>
  <si>
    <t>KNOLL INC</t>
  </si>
  <si>
    <t>KNX</t>
  </si>
  <si>
    <t>KNIGHT SWIFT TRANSN HLDGS INC</t>
  </si>
  <si>
    <t>KFY</t>
  </si>
  <si>
    <t>KORN FERRY INTL</t>
  </si>
  <si>
    <t>L3 TECHNOLOGIES INC</t>
  </si>
  <si>
    <t>TBI</t>
  </si>
  <si>
    <t>TRUEBLUE INC</t>
  </si>
  <si>
    <t>LSTR</t>
  </si>
  <si>
    <t>LANDSTAR SYS INC</t>
  </si>
  <si>
    <t>LAWS</t>
  </si>
  <si>
    <t>LAWSON PRODS INC</t>
  </si>
  <si>
    <t>LAYN</t>
  </si>
  <si>
    <t>LAYNE CHRISTENSEN CO</t>
  </si>
  <si>
    <t>LII</t>
  </si>
  <si>
    <t>LENNOX INTL INC</t>
  </si>
  <si>
    <t>LECO</t>
  </si>
  <si>
    <t>LINCOLN ELEC HLDGS INC</t>
  </si>
  <si>
    <t>LNN</t>
  </si>
  <si>
    <t>LINDSAY CORP</t>
  </si>
  <si>
    <t>LOCKHEED MARTIN CORP</t>
  </si>
  <si>
    <t>LDL</t>
  </si>
  <si>
    <t>LYDALL INC DEL</t>
  </si>
  <si>
    <t>MSM</t>
  </si>
  <si>
    <t>MSC INDL DIRECT INC</t>
  </si>
  <si>
    <t>MIC</t>
  </si>
  <si>
    <t>MACQUARIE INFRASTRUCTURE COR</t>
  </si>
  <si>
    <t>MTW</t>
  </si>
  <si>
    <t>MANITOWOC CO INC</t>
  </si>
  <si>
    <t>MAN</t>
  </si>
  <si>
    <t>MANPOWERGROUP INC</t>
  </si>
  <si>
    <t>MRTN</t>
  </si>
  <si>
    <t>MARTEN TRANS LTD</t>
  </si>
  <si>
    <t>MASCO CORP</t>
  </si>
  <si>
    <t>MTZ</t>
  </si>
  <si>
    <t>MASTEC INC</t>
  </si>
  <si>
    <t>MATW</t>
  </si>
  <si>
    <t>MATTHEWS INTL CORP</t>
  </si>
  <si>
    <t>MGRC</t>
  </si>
  <si>
    <t>MCGRATH RENTCORP</t>
  </si>
  <si>
    <t>MRCY</t>
  </si>
  <si>
    <t>MERCURY SYS INC</t>
  </si>
  <si>
    <t>MIDD</t>
  </si>
  <si>
    <t>MIDDLEBY CORP</t>
  </si>
  <si>
    <t>MLHR</t>
  </si>
  <si>
    <t>MILLER HERMAN INC</t>
  </si>
  <si>
    <t>MLR</t>
  </si>
  <si>
    <t>MILLER INDS INC TENN</t>
  </si>
  <si>
    <t>MSA</t>
  </si>
  <si>
    <t>MSA SAFETY INCORPORATED</t>
  </si>
  <si>
    <t>MINI</t>
  </si>
  <si>
    <t>MOBILE MINI INC</t>
  </si>
  <si>
    <t>MOOG INC</t>
  </si>
  <si>
    <t>MLI</t>
  </si>
  <si>
    <t>MUELLER INDS INC</t>
  </si>
  <si>
    <t>MWA</t>
  </si>
  <si>
    <t>MUELLER WTR PRODS INC</t>
  </si>
  <si>
    <t>LABL</t>
  </si>
  <si>
    <t>MULTI COLOR CORP</t>
  </si>
  <si>
    <t>NCS</t>
  </si>
  <si>
    <t>NCI BUILDING SYS INC</t>
  </si>
  <si>
    <t>NL</t>
  </si>
  <si>
    <t>NL INDS INC</t>
  </si>
  <si>
    <t>NNBR</t>
  </si>
  <si>
    <t>NN INC</t>
  </si>
  <si>
    <t>NPK</t>
  </si>
  <si>
    <t>NATIONAL PRESTO INDS INC</t>
  </si>
  <si>
    <t>NAV</t>
  </si>
  <si>
    <t>NAVISTAR INTL CORP NEW</t>
  </si>
  <si>
    <t>NCI</t>
  </si>
  <si>
    <t>NAVIGANT CONSULTING INC</t>
  </si>
  <si>
    <t>NDSN</t>
  </si>
  <si>
    <t>NORDSON CORP</t>
  </si>
  <si>
    <t>NORFOLK SOUTHERN CORP</t>
  </si>
  <si>
    <t>NORTHROP GRUMMAN CORP</t>
  </si>
  <si>
    <t>ODFL</t>
  </si>
  <si>
    <t>OLD DOMINION FGHT LINES INC</t>
  </si>
  <si>
    <t>OFLX</t>
  </si>
  <si>
    <t>OMEGA FLEX INC</t>
  </si>
  <si>
    <t>ASGN</t>
  </si>
  <si>
    <t>OSK</t>
  </si>
  <si>
    <t>OSHKOSH CORP</t>
  </si>
  <si>
    <t>PGTI</t>
  </si>
  <si>
    <t>PGT INNOVATIONS INC</t>
  </si>
  <si>
    <t>PACCAR INC</t>
  </si>
  <si>
    <t>PKOH</t>
  </si>
  <si>
    <t>PARK OHIO HLDGS CORP</t>
  </si>
  <si>
    <t>PARKER HANNIFIN CORP</t>
  </si>
  <si>
    <t>PATK</t>
  </si>
  <si>
    <t>PATRICK INDS INC</t>
  </si>
  <si>
    <t>PENTAIR PLC</t>
  </si>
  <si>
    <t>TPC</t>
  </si>
  <si>
    <t>TUTOR PERINI CORPORATION</t>
  </si>
  <si>
    <t>PBI</t>
  </si>
  <si>
    <t>PITNEY BOWES INC</t>
  </si>
  <si>
    <t>POWL</t>
  </si>
  <si>
    <t>POWELL INDS INC</t>
  </si>
  <si>
    <t>PLPC</t>
  </si>
  <si>
    <t>PREFORMED LINE PRODS CO</t>
  </si>
  <si>
    <t>QUANTA SVCS INC</t>
  </si>
  <si>
    <t>RAVN</t>
  </si>
  <si>
    <t>RAVEN INDS INC</t>
  </si>
  <si>
    <t>RAYTHEON CO</t>
  </si>
  <si>
    <t>ROLL</t>
  </si>
  <si>
    <t>RBC BEARINGS INC</t>
  </si>
  <si>
    <t>RBC</t>
  </si>
  <si>
    <t>REGAL BELOIT CORP</t>
  </si>
  <si>
    <t>REPUBLIC SVCS INC</t>
  </si>
  <si>
    <t>RECN</t>
  </si>
  <si>
    <t>RESOURCES CONNECTION INC</t>
  </si>
  <si>
    <t>RBA</t>
  </si>
  <si>
    <t>RITCHIE BROS AUCTIONEERS</t>
  </si>
  <si>
    <t>ROBERT HALF INTL INC</t>
  </si>
  <si>
    <t>ROCKWELL AUTOMATION INC</t>
  </si>
  <si>
    <t>ROCKWELL COLLINS INC</t>
  </si>
  <si>
    <t>ROL</t>
  </si>
  <si>
    <t>ROLLINS INC</t>
  </si>
  <si>
    <t>ROPE TECHNOLOGIES INC</t>
  </si>
  <si>
    <t>RUSHA</t>
  </si>
  <si>
    <t>RUSH ENTERPRISES INC</t>
  </si>
  <si>
    <t>RYDER SYS INC</t>
  </si>
  <si>
    <t>SPXC</t>
  </si>
  <si>
    <t>SPX CORP</t>
  </si>
  <si>
    <t>SAIA</t>
  </si>
  <si>
    <t>SAIA INC</t>
  </si>
  <si>
    <t>SSD</t>
  </si>
  <si>
    <t>SIMPSON MANUFACTURING CO INC</t>
  </si>
  <si>
    <t>SKYW</t>
  </si>
  <si>
    <t>SKYWEST INC</t>
  </si>
  <si>
    <t>AOS</t>
  </si>
  <si>
    <t>SMITH A O</t>
  </si>
  <si>
    <t>SNAP ON INC</t>
  </si>
  <si>
    <t>SOUTHWEST AIRLS CO</t>
  </si>
  <si>
    <t>SPAR</t>
  </si>
  <si>
    <t>SPARTAN MTRS INC</t>
  </si>
  <si>
    <t>SP</t>
  </si>
  <si>
    <t>SP PLUS CORPORATION</t>
  </si>
  <si>
    <t>SXI</t>
  </si>
  <si>
    <t>STANDEX INTL CORP</t>
  </si>
  <si>
    <t>STANLEY BLACK &amp; DECKER INC</t>
  </si>
  <si>
    <t>STN</t>
  </si>
  <si>
    <t>STANTEC INC</t>
  </si>
  <si>
    <t>SBLK</t>
  </si>
  <si>
    <t>STAR BULK CARRIERS CORP</t>
  </si>
  <si>
    <t>SCS</t>
  </si>
  <si>
    <t>STEELCASE INC</t>
  </si>
  <si>
    <t>STERICYCLE INC</t>
  </si>
  <si>
    <t>STRL</t>
  </si>
  <si>
    <t>STERLING CONSTRUCTION CO INC</t>
  </si>
  <si>
    <t>SNHY</t>
  </si>
  <si>
    <t>SUN HYDRAULICS CORP</t>
  </si>
  <si>
    <t>AAXN</t>
  </si>
  <si>
    <t>AXON ENTERPRISES INC</t>
  </si>
  <si>
    <t>TISI</t>
  </si>
  <si>
    <t>TEAM INC</t>
  </si>
  <si>
    <t>TDY</t>
  </si>
  <si>
    <t>TELEDYNE TECHNOLOGIES INC</t>
  </si>
  <si>
    <t>TNC</t>
  </si>
  <si>
    <t>TENNANT CO</t>
  </si>
  <si>
    <t>TEX</t>
  </si>
  <si>
    <t>TEREX CORP NEW</t>
  </si>
  <si>
    <t>TTEK</t>
  </si>
  <si>
    <t>TETRA TECH INC NEW</t>
  </si>
  <si>
    <t>TEXTRON INC</t>
  </si>
  <si>
    <t>3M CO</t>
  </si>
  <si>
    <t>TKR</t>
  </si>
  <si>
    <t>TIMKEN CO</t>
  </si>
  <si>
    <t>TWI</t>
  </si>
  <si>
    <t>TITAN INTL INC ILL</t>
  </si>
  <si>
    <t>TTC</t>
  </si>
  <si>
    <t>TORO CO</t>
  </si>
  <si>
    <t>TRANSDIGM GROUP INC</t>
  </si>
  <si>
    <t>TREX</t>
  </si>
  <si>
    <t>TREX INC</t>
  </si>
  <si>
    <t>TRN</t>
  </si>
  <si>
    <t>TRINITY INDS INC</t>
  </si>
  <si>
    <t>TGI</t>
  </si>
  <si>
    <t>TRIUMPH GROUP INC NEW</t>
  </si>
  <si>
    <t>TWIN</t>
  </si>
  <si>
    <t>TWIN DISC INC</t>
  </si>
  <si>
    <t>JOHNSON CTLS INTL PLC</t>
  </si>
  <si>
    <t>UNITED CONTINENTAL HOLDINGS</t>
  </si>
  <si>
    <t>USG</t>
  </si>
  <si>
    <t>U S G CORP</t>
  </si>
  <si>
    <t>UNF</t>
  </si>
  <si>
    <t>UNIFIRST CORP MASS</t>
  </si>
  <si>
    <t>UNION PAC CORP</t>
  </si>
  <si>
    <t>UNITED PARCEL SERVICE INC</t>
  </si>
  <si>
    <t>UNITED RENTALS INC</t>
  </si>
  <si>
    <t>ESND</t>
  </si>
  <si>
    <t>ESSENDANT INC</t>
  </si>
  <si>
    <t>UNITED TECHNOLOGIES CORP</t>
  </si>
  <si>
    <t>UFPI</t>
  </si>
  <si>
    <t>UNIVERSAL FST PRODS INC</t>
  </si>
  <si>
    <t>ULH</t>
  </si>
  <si>
    <t>UNIVERSAL LOGISTICS HLDGS IN</t>
  </si>
  <si>
    <t>VSEC</t>
  </si>
  <si>
    <t>VSE CORP</t>
  </si>
  <si>
    <t>VMI</t>
  </si>
  <si>
    <t>VALMONT INDS INC</t>
  </si>
  <si>
    <t>VVI</t>
  </si>
  <si>
    <t>VIAD CORP</t>
  </si>
  <si>
    <t>VICR</t>
  </si>
  <si>
    <t>VICOR CORP</t>
  </si>
  <si>
    <t>WNC</t>
  </si>
  <si>
    <t>WABASH NATL CORP</t>
  </si>
  <si>
    <t>WAB</t>
  </si>
  <si>
    <t>WABTEC CORP</t>
  </si>
  <si>
    <t>WASTE MGMT INC DEL</t>
  </si>
  <si>
    <t>WSO</t>
  </si>
  <si>
    <t>WATSCO INC</t>
  </si>
  <si>
    <t>WTS</t>
  </si>
  <si>
    <t>WATTS WATER TECHNOLOGIES INC</t>
  </si>
  <si>
    <t>WERN</t>
  </si>
  <si>
    <t>WERNER ENTERPRISES INC</t>
  </si>
  <si>
    <t>WCC</t>
  </si>
  <si>
    <t>WESCO INTL INC</t>
  </si>
  <si>
    <t>KTOS</t>
  </si>
  <si>
    <t>KRATOS DEFENSE &amp; SEC SOLUTIONS</t>
  </si>
  <si>
    <t>WWD</t>
  </si>
  <si>
    <t>WOODWARD INC</t>
  </si>
  <si>
    <t>YRCW</t>
  </si>
  <si>
    <t>YRC WORLDWIDE INC</t>
  </si>
  <si>
    <t>CYD</t>
  </si>
  <si>
    <t>CHINA YUCHAI INTL LTD</t>
  </si>
  <si>
    <t>INGERSOLL-RAND PLC</t>
  </si>
  <si>
    <t>GOGL</t>
  </si>
  <si>
    <t>GOLDEN OCEAN GROUP LTD</t>
  </si>
  <si>
    <t>ESLT</t>
  </si>
  <si>
    <t>ELBIT SYS LTD</t>
  </si>
  <si>
    <t>CPA</t>
  </si>
  <si>
    <t>COPA HOLDINGS SA</t>
  </si>
  <si>
    <t>SSW</t>
  </si>
  <si>
    <t>SEASPAN CORP</t>
  </si>
  <si>
    <t>WCN</t>
  </si>
  <si>
    <t>WASTE CONNECTIONS INC</t>
  </si>
  <si>
    <t>ICFI</t>
  </si>
  <si>
    <t>ICF INTL INC</t>
  </si>
  <si>
    <t>ALGT</t>
  </si>
  <si>
    <t>ALLEGIANT TRAVEL CO</t>
  </si>
  <si>
    <t>INWK</t>
  </si>
  <si>
    <t>INNERWORKINGS INC</t>
  </si>
  <si>
    <t>AYR</t>
  </si>
  <si>
    <t>AIRCASTLE LTD</t>
  </si>
  <si>
    <t>GTLS</t>
  </si>
  <si>
    <t>CHART INDS INC</t>
  </si>
  <si>
    <t>OC</t>
  </si>
  <si>
    <t>OWENS CORNING NEW</t>
  </si>
  <si>
    <t>PRIM</t>
  </si>
  <si>
    <t>PRIMORIS SVCS CORP</t>
  </si>
  <si>
    <t>AWI</t>
  </si>
  <si>
    <t>ARMSTRONG WORLD INDS INC NEW</t>
  </si>
  <si>
    <t>KBR</t>
  </si>
  <si>
    <t>KBR INC</t>
  </si>
  <si>
    <t>HRI</t>
  </si>
  <si>
    <t>HERC HOLDINGS INC</t>
  </si>
  <si>
    <t>SPR</t>
  </si>
  <si>
    <t>SPIRIT AEROSYSTEMS HLDGS INC</t>
  </si>
  <si>
    <t>AER</t>
  </si>
  <si>
    <t>AERCAP HOLDINGS NV</t>
  </si>
  <si>
    <t>AIMC</t>
  </si>
  <si>
    <t>ALTRA INDL MOTION CORP</t>
  </si>
  <si>
    <t>AVAV</t>
  </si>
  <si>
    <t>AEROVIRONMENT INC</t>
  </si>
  <si>
    <t>TNET</t>
  </si>
  <si>
    <t>TRINET GROUP INC</t>
  </si>
  <si>
    <t>CAI</t>
  </si>
  <si>
    <t>CAI INTERNATIONAL INC</t>
  </si>
  <si>
    <t>DELTA AIR LINES INC DEL</t>
  </si>
  <si>
    <t>ACM</t>
  </si>
  <si>
    <t>AECOM</t>
  </si>
  <si>
    <t>TRS</t>
  </si>
  <si>
    <t>TRIMAS CORP</t>
  </si>
  <si>
    <t>WBC</t>
  </si>
  <si>
    <t>WABCO HLDGS INC</t>
  </si>
  <si>
    <t>TGH</t>
  </si>
  <si>
    <t>TITN</t>
  </si>
  <si>
    <t>TITAN MACHY INC</t>
  </si>
  <si>
    <t>HCCI</t>
  </si>
  <si>
    <t>HERITAGE CRYSTAL CLEAN INC</t>
  </si>
  <si>
    <t>HI</t>
  </si>
  <si>
    <t>HILLENBRAND INC</t>
  </si>
  <si>
    <t>ERII</t>
  </si>
  <si>
    <t>ENERGY RECOVERY INC</t>
  </si>
  <si>
    <t>NX</t>
  </si>
  <si>
    <t>QUANEX BUILDING PRODUCTS COR</t>
  </si>
  <si>
    <t>CFX</t>
  </si>
  <si>
    <t>COLFAX CORP</t>
  </si>
  <si>
    <t>JBT</t>
  </si>
  <si>
    <t>JOHN BEAN TECHNOLOGIES CORP</t>
  </si>
  <si>
    <t>MYRG</t>
  </si>
  <si>
    <t>MYR GROUP INC DEL</t>
  </si>
  <si>
    <t>ECHO</t>
  </si>
  <si>
    <t>ECHO GLOBAL LOGISTICS INC</t>
  </si>
  <si>
    <t>MG</t>
  </si>
  <si>
    <t>MISTRAS GROUP INC</t>
  </si>
  <si>
    <t>DOOR</t>
  </si>
  <si>
    <t>MASONITE INTL CORP NEW</t>
  </si>
  <si>
    <t>HCHC</t>
  </si>
  <si>
    <t>HC2 HLDGS INC</t>
  </si>
  <si>
    <t>VERISK ANALYTICS INC</t>
  </si>
  <si>
    <t>KAR</t>
  </si>
  <si>
    <t>KAR AUCTION SVCS INC</t>
  </si>
  <si>
    <t>GNRC</t>
  </si>
  <si>
    <t>GENERAC HLDGS INC</t>
  </si>
  <si>
    <t>ST</t>
  </si>
  <si>
    <t>PLOW</t>
  </si>
  <si>
    <t>DOUGLAS DYNAMICS INC</t>
  </si>
  <si>
    <t>AMRC</t>
  </si>
  <si>
    <t>AMERESCO INC</t>
  </si>
  <si>
    <t>QUAD</t>
  </si>
  <si>
    <t>QUAD / GRAPHICS INC</t>
  </si>
  <si>
    <t>BWXT</t>
  </si>
  <si>
    <t>BWX TECHNOLOGIES INC</t>
  </si>
  <si>
    <t>KEYW</t>
  </si>
  <si>
    <t>KEYW HLDG CORP</t>
  </si>
  <si>
    <t>CMRE</t>
  </si>
  <si>
    <t>COSTAMARE INC</t>
  </si>
  <si>
    <t>AL</t>
  </si>
  <si>
    <t>AIR LEASE CORP</t>
  </si>
  <si>
    <t>NIELSEN HLDGS PLC</t>
  </si>
  <si>
    <t>SAVE</t>
  </si>
  <si>
    <t>SPIRIT AIRLS INC</t>
  </si>
  <si>
    <t>HII</t>
  </si>
  <si>
    <t>HUNTINGTON INGALLS INDS INC</t>
  </si>
  <si>
    <t>RPXC</t>
  </si>
  <si>
    <t>RPX CORP</t>
  </si>
  <si>
    <t>THR</t>
  </si>
  <si>
    <t>THERMON GROUP HLDGS INC</t>
  </si>
  <si>
    <t>ALSN</t>
  </si>
  <si>
    <t>ALLISON TRANSMISSION HLDGS I</t>
  </si>
  <si>
    <t>WAGE</t>
  </si>
  <si>
    <t>WAGEWORKS INC</t>
  </si>
  <si>
    <t>WAIR</t>
  </si>
  <si>
    <t>WESCO AIRCRAFT HLDGS INC</t>
  </si>
  <si>
    <t>FORTUNE BRANDS HOME &amp; SEC IN</t>
  </si>
  <si>
    <t>XYLEM INC</t>
  </si>
  <si>
    <t>LXFR</t>
  </si>
  <si>
    <t>LUXFER HOLDINGS PLC</t>
  </si>
  <si>
    <t>PRLB</t>
  </si>
  <si>
    <t>PROTO LABS INC</t>
  </si>
  <si>
    <t>RXN</t>
  </si>
  <si>
    <t>REXNORD CORP NEW</t>
  </si>
  <si>
    <t>CSTE</t>
  </si>
  <si>
    <t>CAESARSTONE LTD</t>
  </si>
  <si>
    <t>MRC</t>
  </si>
  <si>
    <t>MRC GLOBAL INC</t>
  </si>
  <si>
    <t>EGL</t>
  </si>
  <si>
    <t>ENGILITY HLDGS INC NEW</t>
  </si>
  <si>
    <t>HY</t>
  </si>
  <si>
    <t>HYSTER YALE MATLS HANDLING I</t>
  </si>
  <si>
    <t>NVEE</t>
  </si>
  <si>
    <t>NV5 GLOBAL INC</t>
  </si>
  <si>
    <t>BRSS</t>
  </si>
  <si>
    <t>GLOBAL BRASS &amp; COPPR HLDGS I</t>
  </si>
  <si>
    <t>BMCH</t>
  </si>
  <si>
    <t>BMC STK HLDGS INC</t>
  </si>
  <si>
    <t>HDS</t>
  </si>
  <si>
    <t>HD SUPPLY HLDGS INC</t>
  </si>
  <si>
    <t>CNHI</t>
  </si>
  <si>
    <t>ALLEGION PUB LTD CO</t>
  </si>
  <si>
    <t>SALT</t>
  </si>
  <si>
    <t>SCORPIO BULKERS INC</t>
  </si>
  <si>
    <t>AMERICAN AIRLS GROUP INC</t>
  </si>
  <si>
    <t>CBPX</t>
  </si>
  <si>
    <t>CONTINENTAL BLDG PRODS INC</t>
  </si>
  <si>
    <t>BLBD</t>
  </si>
  <si>
    <t>BLUE BIRD CORP</t>
  </si>
  <si>
    <t>WATT</t>
  </si>
  <si>
    <t>ENERGOUS CORP</t>
  </si>
  <si>
    <t>DNOW</t>
  </si>
  <si>
    <t>NOW INC</t>
  </si>
  <si>
    <t>VRTV</t>
  </si>
  <si>
    <t>VERITIV CORP</t>
  </si>
  <si>
    <t>INFO</t>
  </si>
  <si>
    <t>IHS MARKIT LTD</t>
  </si>
  <si>
    <t>GNK</t>
  </si>
  <si>
    <t>GENCO SHIPPING &amp; TRADING LTD</t>
  </si>
  <si>
    <t>WMS</t>
  </si>
  <si>
    <t>ADVANCED DRAIN SYS INC DEL</t>
  </si>
  <si>
    <t>NXEO</t>
  </si>
  <si>
    <t xml:space="preserve">NEXEO SOLUTIONS INC </t>
  </si>
  <si>
    <t>VEC</t>
  </si>
  <si>
    <t>VECTRUS INC</t>
  </si>
  <si>
    <t>ATTO</t>
  </si>
  <si>
    <t>ATENTO S A</t>
  </si>
  <si>
    <t>KLXI</t>
  </si>
  <si>
    <t>KLX INC</t>
  </si>
  <si>
    <t>KRNT</t>
  </si>
  <si>
    <t>KORNIT DIGITAL LTD</t>
  </si>
  <si>
    <t>FTAI</t>
  </si>
  <si>
    <t>FORTRESS TRANS INFRST INVS L</t>
  </si>
  <si>
    <t>UNVR</t>
  </si>
  <si>
    <t>UNIVAR INC</t>
  </si>
  <si>
    <t>MCRN</t>
  </si>
  <si>
    <t>MILACRON HLDGS CORP</t>
  </si>
  <si>
    <t>TRU</t>
  </si>
  <si>
    <t>TRANSUNION</t>
  </si>
  <si>
    <t>RUN</t>
  </si>
  <si>
    <t>SUNRUN INC</t>
  </si>
  <si>
    <t>FLOW</t>
  </si>
  <si>
    <t>SPX FLOW INC</t>
  </si>
  <si>
    <t>CSWI</t>
  </si>
  <si>
    <t>CSW INDUSTRIALS INC</t>
  </si>
  <si>
    <t>ADSW</t>
  </si>
  <si>
    <t>ADVANCED DISP SVCS INC DEL</t>
  </si>
  <si>
    <t>WBT</t>
  </si>
  <si>
    <t>WELBILT INC</t>
  </si>
  <si>
    <t>AFI</t>
  </si>
  <si>
    <t>ARMSTRONG FLOORING INC</t>
  </si>
  <si>
    <t>SITE</t>
  </si>
  <si>
    <t>SITEONE LANDSCAPE SUPPLY INC</t>
  </si>
  <si>
    <t>GMS</t>
  </si>
  <si>
    <t>GMS INC</t>
  </si>
  <si>
    <t>ATKR</t>
  </si>
  <si>
    <t>ATKORE INTL GROUP INC</t>
  </si>
  <si>
    <t>FORTIVE CORP</t>
  </si>
  <si>
    <t>HTZ</t>
  </si>
  <si>
    <t>HERTZ GLOBAL HLDGS INC</t>
  </si>
  <si>
    <t>TRTN</t>
  </si>
  <si>
    <t>TRITON INTL LTD</t>
  </si>
  <si>
    <t>TPIC</t>
  </si>
  <si>
    <t>TPI COMPOSITES INC</t>
  </si>
  <si>
    <t>LKSD</t>
  </si>
  <si>
    <t>LSC COMMUNICATIONS INC</t>
  </si>
  <si>
    <t>ERROR TICKERS</t>
  </si>
  <si>
    <t>AMERICAN WOODMARK CORPORATIO</t>
  </si>
  <si>
    <t>KIMBALL INTL INC</t>
  </si>
  <si>
    <t>MOG.A</t>
  </si>
  <si>
    <t>PTSI</t>
  </si>
  <si>
    <t>P A M TRANSN SVCS INC</t>
  </si>
  <si>
    <t>CNH INDL N V</t>
  </si>
  <si>
    <t>DSKE</t>
  </si>
  <si>
    <t>DASEKE INC</t>
  </si>
  <si>
    <t>JELD</t>
  </si>
  <si>
    <t>JELD-WEN HLDG INC</t>
  </si>
  <si>
    <t>REVG</t>
  </si>
  <si>
    <t>REV GROUP INC</t>
  </si>
  <si>
    <t>$SPX.X</t>
  </si>
  <si>
    <t>SPX</t>
  </si>
  <si>
    <t>$VIX.X</t>
  </si>
  <si>
    <t>VIX</t>
  </si>
  <si>
    <t>BXC</t>
  </si>
  <si>
    <t>BLUELINX HLDGS INC</t>
  </si>
  <si>
    <t>CSGP</t>
  </si>
  <si>
    <t>COSTAR GROUP INC</t>
  </si>
  <si>
    <t>ASGN INC</t>
  </si>
  <si>
    <t>WLFC</t>
  </si>
  <si>
    <t>WILLIS LEASE FINANCE CORP</t>
  </si>
  <si>
    <t>CMPR</t>
  </si>
  <si>
    <t xml:space="preserve">CIMPRESS NV </t>
  </si>
  <si>
    <t>WLDN</t>
  </si>
  <si>
    <t>WILLDAN GROUP INC</t>
  </si>
  <si>
    <t>SENSATA TECHNOLOGIES HLDNG P</t>
  </si>
  <si>
    <t>FBM</t>
  </si>
  <si>
    <t>FOUNDATION BLDG MATLS INC</t>
  </si>
  <si>
    <t>GFN</t>
  </si>
  <si>
    <t>GENERAL FIN CORP DEL</t>
  </si>
  <si>
    <t>TEXTAINDER GROUP HOLDINGS LTD</t>
  </si>
  <si>
    <t>EGLE</t>
  </si>
  <si>
    <t>EAGLE BULK SHIPPING INC</t>
  </si>
  <si>
    <t>SNDR</t>
  </si>
  <si>
    <t>SCHNEIDER NATIONAL INC</t>
  </si>
  <si>
    <t>RAIL</t>
  </si>
  <si>
    <t>FREIGHTCAR AMER INC</t>
  </si>
  <si>
    <t>NWPX</t>
  </si>
  <si>
    <t>NORTHWEST PIPE CO</t>
  </si>
  <si>
    <t>GLDD</t>
  </si>
  <si>
    <t>GREAT LAKES DREDGE &amp; DOCK CO</t>
  </si>
  <si>
    <t>ORN</t>
  </si>
  <si>
    <t>ORION GROUP HOLDINGS INC</t>
  </si>
  <si>
    <t>YRIV</t>
  </si>
  <si>
    <t>YANGTEE RIVER PORT &amp; LOGISTICS</t>
  </si>
  <si>
    <t>ENPH</t>
  </si>
  <si>
    <t>ENPHASE ENERGY INC</t>
  </si>
  <si>
    <t>GDI</t>
  </si>
  <si>
    <t>GARDNER DENVER HLDGS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</si>
</sst>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</cellStyleXfs>
  <cellXfs count="16">
    <xf numFmtId="0" fontId="0" fillId="0" borderId="0" xfId="0"/>
    <xf numFmtId="0" fontId="19" fillId="0" borderId="0" xfId="42" applyFont="1"/>
    <xf numFmtId="0" fontId="18" fillId="0" borderId="0" xfId="42"/>
    <xf numFmtId="0" fontId="19" fillId="0" borderId="0" xfId="42" applyFont="1" applyAlignment="1">
      <alignment horizontal="right"/>
    </xf>
    <xf numFmtId="164" fontId="19" fillId="0" borderId="0" xfId="43" applyNumberFormat="1" applyFont="1" applyAlignment="1">
      <alignment horizontal="right"/>
    </xf>
    <xf numFmtId="0" fontId="18" fillId="0" borderId="0" xfId="42" applyAlignment="1">
      <alignment horizontal="right"/>
    </xf>
    <xf numFmtId="1" fontId="0" fillId="0" borderId="0" xfId="43" applyNumberFormat="1" applyFont="1" applyAlignment="1">
      <alignment horizontal="right"/>
    </xf>
    <xf numFmtId="0" fontId="18" fillId="0" borderId="0" xfId="42" applyAlignment="1">
      <alignment horizontal="left"/>
    </xf>
    <xf numFmtId="1" fontId="0" fillId="0" borderId="0" xfId="43" applyNumberFormat="1" applyFont="1"/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165" fontId="0" fillId="0" borderId="0" xfId="43" applyNumberFormat="1" applyFont="1" applyAlignment="1">
      <alignment horizontal="right"/>
    </xf>
    <xf numFmtId="49" fontId="0" fillId="0" borderId="0" xfId="0" applyNumberFormat="1"/>
    <xf numFmtId="49" fontId="0" fillId="0" borderId="0" xfId="0" applyNumberFormat="1" applyAlignment="1">
      <alignment horizontal="right"/>
    </xf>
    <xf numFmtId="49" fontId="16" fillId="0" borderId="0" xfId="0" applyNumberFormat="1" applyFont="1" applyAlignment="1">
      <alignment horizontal="right"/>
    </xf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altickrtd.dataserver">
      <tp>
        <v>33</v>
        <stp/>
        <stp>MARKETDATA</stp>
        <stp>AAON</stp>
        <stp>1006</stp>
        <tr r="E5" s="1"/>
        <tr r="E5" s="1"/>
      </tp>
      <tp>
        <v>33.6</v>
        <stp/>
        <stp>MARKETDATA</stp>
        <stp>AAON</stp>
        <stp>1019</stp>
        <tr r="F5" s="1"/>
      </tp>
      <tp>
        <v>32.75</v>
        <stp/>
        <stp>MARKETDATA</stp>
        <stp>AAON</stp>
        <stp>1013</stp>
        <tr r="H5" s="1"/>
      </tp>
      <tp>
        <v>33.6</v>
        <stp/>
        <stp>MARKETDATA</stp>
        <stp>AAON</stp>
        <stp>1012</stp>
        <tr r="G5" s="1"/>
      </tp>
      <tp>
        <v>33.5</v>
        <stp/>
        <stp>MARKETDATA</stp>
        <stp>AAON</stp>
        <stp>1021</stp>
        <tr r="D5" s="1"/>
      </tp>
      <tp>
        <v>33.160655791747182</v>
        <stp/>
        <stp>MARKETDATA</stp>
        <stp>AAON</stp>
        <stp>6037</stp>
        <tr r="I5" s="1"/>
      </tp>
      <tp>
        <v>30587</v>
        <stp/>
        <stp>MARKETDATA</stp>
        <stp>AAON</stp>
        <stp>1032</stp>
        <tr r="J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0</xdr:row>
          <xdr:rowOff>76200</xdr:rowOff>
        </xdr:from>
        <xdr:to>
          <xdr:col>9</xdr:col>
          <xdr:colOff>47625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0</xdr:row>
          <xdr:rowOff>76200</xdr:rowOff>
        </xdr:from>
        <xdr:to>
          <xdr:col>5</xdr:col>
          <xdr:colOff>295275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0</xdr:row>
          <xdr:rowOff>66675</xdr:rowOff>
        </xdr:from>
        <xdr:to>
          <xdr:col>7</xdr:col>
          <xdr:colOff>200025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0</xdr:row>
          <xdr:rowOff>85725</xdr:rowOff>
        </xdr:from>
        <xdr:to>
          <xdr:col>10</xdr:col>
          <xdr:colOff>447675</xdr:colOff>
          <xdr:row>2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Microsoft%20Office%2015\Root\Office15\xlstart\RealTickForExcelMacro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Functions"/>
      <sheetName val="Sheet2"/>
      <sheetName val="Sheet3"/>
    </sheetNames>
    <definedNames>
      <definedName name="RLTKData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78"/>
  <sheetViews>
    <sheetView tabSelected="1" workbookViewId="0">
      <selection activeCell="D5" sqref="D5:J5"/>
    </sheetView>
  </sheetViews>
  <sheetFormatPr defaultRowHeight="15" x14ac:dyDescent="0.25"/>
  <cols>
    <col min="1" max="1" width="10.140625" style="13" customWidth="1"/>
    <col min="2" max="2" width="15.85546875" style="13" customWidth="1"/>
    <col min="3" max="3" width="37.5703125" style="9" customWidth="1"/>
    <col min="4" max="11" width="9.140625" style="9"/>
    <col min="12" max="12" width="15.42578125" style="9" customWidth="1"/>
    <col min="13" max="16384" width="9.140625" style="9"/>
  </cols>
  <sheetData>
    <row r="1" spans="1:12" x14ac:dyDescent="0.25">
      <c r="B1" s="14" t="s">
        <v>86</v>
      </c>
      <c r="C1" s="9" t="s">
        <v>87</v>
      </c>
    </row>
    <row r="4" spans="1:12" x14ac:dyDescent="0.25">
      <c r="A4" s="14" t="s">
        <v>91</v>
      </c>
      <c r="B4" s="14" t="s">
        <v>92</v>
      </c>
      <c r="C4" s="10" t="s">
        <v>93</v>
      </c>
      <c r="D4" s="10" t="s">
        <v>75</v>
      </c>
      <c r="E4" s="10" t="s">
        <v>79</v>
      </c>
      <c r="F4" s="10" t="s">
        <v>88</v>
      </c>
      <c r="G4" s="10" t="s">
        <v>89</v>
      </c>
      <c r="H4" s="10" t="s">
        <v>40</v>
      </c>
      <c r="I4" s="10" t="s">
        <v>78</v>
      </c>
      <c r="J4" s="10" t="s">
        <v>90</v>
      </c>
      <c r="L4" s="10" t="s">
        <v>782</v>
      </c>
    </row>
    <row r="5" spans="1:12" x14ac:dyDescent="0.25">
      <c r="A5" s="12">
        <v>779</v>
      </c>
      <c r="B5" s="12" t="s">
        <v>94</v>
      </c>
      <c r="C5" t="s">
        <v>95</v>
      </c>
      <c r="D5" s="9">
        <f ca="1">[1]!RLTKData($B5,VLOOKUP("CLOSE",RealTickCodes!$A$5:$B$100,2,FALSE))</f>
        <v>33.5</v>
      </c>
      <c r="E5" s="9">
        <f ca="1">IF([1]!RLTKData($B5, VLOOKUP("RECENT", RealTickCodes!$A$5:$B$100, 2, FALSE))=0, D5, [1]!RLTKData($B5, VLOOKUP("RECENT", RealTickCodes!$A$5:$B$100, 2, FALSE)))</f>
        <v>33</v>
      </c>
      <c r="F5" s="9">
        <f>[1]!RLTKData($B5,VLOOKUP("OPEN",RealTickCodes!$A$5:$B$100,2,FALSE))</f>
        <v>33.6</v>
      </c>
      <c r="G5" s="9">
        <f>[1]!RLTKData($B5,VLOOKUP("HIGH",RealTickCodes!$A$5:$B$100,2,FALSE))</f>
        <v>33.6</v>
      </c>
      <c r="H5" s="9">
        <f>[1]!RLTKData($B5,VLOOKUP("LOW",RealTickCodes!$A$5:$B$100,2,FALSE))</f>
        <v>32.75</v>
      </c>
      <c r="I5" s="9">
        <f>[1]!RLTKData($B5,VLOOKUP("VWAP",RealTickCodes!$A$5:$B$100,2,FALSE))</f>
        <v>33.160655791747182</v>
      </c>
      <c r="J5" s="9">
        <f>[1]!RLTKData($B5,VLOOKUP("VOLUME",RealTickCodes!$A$5:$B$100,2,FALSE))</f>
        <v>30587</v>
      </c>
    </row>
    <row r="6" spans="1:12" x14ac:dyDescent="0.25">
      <c r="A6" s="12">
        <v>780</v>
      </c>
      <c r="B6" s="12" t="s">
        <v>96</v>
      </c>
      <c r="C6" t="s">
        <v>97</v>
      </c>
    </row>
    <row r="7" spans="1:12" x14ac:dyDescent="0.25">
      <c r="A7" s="12">
        <v>829</v>
      </c>
      <c r="B7" s="12" t="s">
        <v>98</v>
      </c>
      <c r="C7" t="s">
        <v>99</v>
      </c>
    </row>
    <row r="8" spans="1:12" x14ac:dyDescent="0.25">
      <c r="A8" s="12">
        <v>835</v>
      </c>
      <c r="B8" s="12" t="s">
        <v>100</v>
      </c>
      <c r="C8" t="s">
        <v>101</v>
      </c>
    </row>
    <row r="9" spans="1:12" x14ac:dyDescent="0.25">
      <c r="A9" s="12">
        <v>902</v>
      </c>
      <c r="B9" s="12" t="s">
        <v>102</v>
      </c>
      <c r="C9" t="s">
        <v>103</v>
      </c>
    </row>
    <row r="10" spans="1:12" x14ac:dyDescent="0.25">
      <c r="A10" s="12">
        <v>1000</v>
      </c>
      <c r="B10" s="12" t="s">
        <v>104</v>
      </c>
      <c r="C10" t="s">
        <v>105</v>
      </c>
    </row>
    <row r="11" spans="1:12" x14ac:dyDescent="0.25">
      <c r="A11" s="12">
        <v>1562</v>
      </c>
      <c r="B11" s="12" t="s">
        <v>106</v>
      </c>
      <c r="C11" t="s">
        <v>107</v>
      </c>
    </row>
    <row r="12" spans="1:12" x14ac:dyDescent="0.25">
      <c r="A12" s="12">
        <v>1993</v>
      </c>
      <c r="B12" s="12" t="s">
        <v>108</v>
      </c>
      <c r="C12" t="s">
        <v>109</v>
      </c>
    </row>
    <row r="13" spans="1:12" x14ac:dyDescent="0.25">
      <c r="A13" s="12">
        <v>1994</v>
      </c>
      <c r="B13" s="12" t="s">
        <v>1</v>
      </c>
      <c r="C13" t="s">
        <v>110</v>
      </c>
    </row>
    <row r="14" spans="1:12" x14ac:dyDescent="0.25">
      <c r="A14" s="12">
        <v>2081</v>
      </c>
      <c r="B14" s="12" t="s">
        <v>111</v>
      </c>
      <c r="C14" t="s">
        <v>112</v>
      </c>
    </row>
    <row r="15" spans="1:12" x14ac:dyDescent="0.25">
      <c r="A15" s="12">
        <v>2808</v>
      </c>
      <c r="B15" s="12" t="s">
        <v>113</v>
      </c>
      <c r="C15" t="s">
        <v>114</v>
      </c>
    </row>
    <row r="16" spans="1:12" x14ac:dyDescent="0.25">
      <c r="A16" s="12">
        <v>2822</v>
      </c>
      <c r="B16" s="12" t="s">
        <v>2</v>
      </c>
      <c r="C16" t="s">
        <v>115</v>
      </c>
    </row>
    <row r="17" spans="1:3" x14ac:dyDescent="0.25">
      <c r="A17" s="12">
        <v>2848</v>
      </c>
      <c r="B17" s="12" t="s">
        <v>116</v>
      </c>
      <c r="C17" t="s">
        <v>117</v>
      </c>
    </row>
    <row r="18" spans="1:3" x14ac:dyDescent="0.25">
      <c r="A18" s="12">
        <v>2885</v>
      </c>
      <c r="B18" s="12" t="s">
        <v>6</v>
      </c>
      <c r="C18" t="s">
        <v>118</v>
      </c>
    </row>
    <row r="19" spans="1:3" x14ac:dyDescent="0.25">
      <c r="A19" s="12">
        <v>2924</v>
      </c>
      <c r="B19" s="12" t="s">
        <v>119</v>
      </c>
      <c r="C19" t="s">
        <v>120</v>
      </c>
    </row>
    <row r="20" spans="1:3" x14ac:dyDescent="0.25">
      <c r="A20" s="12">
        <v>3403</v>
      </c>
      <c r="B20" s="12" t="s">
        <v>121</v>
      </c>
      <c r="C20" t="s">
        <v>122</v>
      </c>
    </row>
    <row r="21" spans="1:3" x14ac:dyDescent="0.25">
      <c r="A21" s="12">
        <v>3600</v>
      </c>
      <c r="B21" s="12" t="s">
        <v>123</v>
      </c>
      <c r="C21" t="s">
        <v>124</v>
      </c>
    </row>
    <row r="22" spans="1:3" x14ac:dyDescent="0.25">
      <c r="A22" s="12">
        <v>3977</v>
      </c>
      <c r="B22" s="12" t="s">
        <v>125</v>
      </c>
      <c r="C22" t="s">
        <v>126</v>
      </c>
    </row>
    <row r="23" spans="1:3" x14ac:dyDescent="0.25">
      <c r="A23" s="12">
        <v>4505</v>
      </c>
      <c r="B23" s="12" t="s">
        <v>127</v>
      </c>
      <c r="C23" t="s">
        <v>128</v>
      </c>
    </row>
    <row r="24" spans="1:3" x14ac:dyDescent="0.25">
      <c r="A24" s="12">
        <v>5015</v>
      </c>
      <c r="B24" s="12" t="s">
        <v>129</v>
      </c>
      <c r="C24" t="s">
        <v>130</v>
      </c>
    </row>
    <row r="25" spans="1:3" x14ac:dyDescent="0.25">
      <c r="A25" s="12">
        <v>5301</v>
      </c>
      <c r="B25" s="12" t="s">
        <v>131</v>
      </c>
      <c r="C25" t="s">
        <v>783</v>
      </c>
    </row>
    <row r="26" spans="1:3" x14ac:dyDescent="0.25">
      <c r="A26" s="12">
        <v>5518</v>
      </c>
      <c r="B26" s="12" t="s">
        <v>5</v>
      </c>
      <c r="C26" t="s">
        <v>132</v>
      </c>
    </row>
    <row r="27" spans="1:3" x14ac:dyDescent="0.25">
      <c r="A27" s="12">
        <v>5970</v>
      </c>
      <c r="B27" s="12" t="s">
        <v>133</v>
      </c>
      <c r="C27" t="s">
        <v>134</v>
      </c>
    </row>
    <row r="28" spans="1:3" x14ac:dyDescent="0.25">
      <c r="A28" s="12">
        <v>6083</v>
      </c>
      <c r="B28" s="12" t="s">
        <v>135</v>
      </c>
      <c r="C28" t="s">
        <v>136</v>
      </c>
    </row>
    <row r="29" spans="1:3" x14ac:dyDescent="0.25">
      <c r="A29" s="12">
        <v>6307</v>
      </c>
      <c r="B29" s="12" t="s">
        <v>137</v>
      </c>
      <c r="C29" t="s">
        <v>138</v>
      </c>
    </row>
    <row r="30" spans="1:3" x14ac:dyDescent="0.25">
      <c r="A30" s="12">
        <v>6472</v>
      </c>
      <c r="B30" s="12" t="s">
        <v>139</v>
      </c>
      <c r="C30" t="s">
        <v>140</v>
      </c>
    </row>
    <row r="31" spans="1:3" x14ac:dyDescent="0.25">
      <c r="A31" s="12">
        <v>6654</v>
      </c>
      <c r="B31" s="12" t="s">
        <v>141</v>
      </c>
      <c r="C31" t="s">
        <v>142</v>
      </c>
    </row>
    <row r="32" spans="1:3" x14ac:dyDescent="0.25">
      <c r="A32" s="12">
        <v>6867</v>
      </c>
      <c r="B32" s="12" t="s">
        <v>143</v>
      </c>
      <c r="C32" t="s">
        <v>144</v>
      </c>
    </row>
    <row r="33" spans="1:3" x14ac:dyDescent="0.25">
      <c r="A33" s="12">
        <v>6896</v>
      </c>
      <c r="B33" s="12" t="s">
        <v>145</v>
      </c>
      <c r="C33" t="s">
        <v>146</v>
      </c>
    </row>
    <row r="34" spans="1:3" x14ac:dyDescent="0.25">
      <c r="A34" s="12">
        <v>7059</v>
      </c>
      <c r="B34" s="12" t="s">
        <v>147</v>
      </c>
      <c r="C34" t="s">
        <v>148</v>
      </c>
    </row>
    <row r="35" spans="1:3" x14ac:dyDescent="0.25">
      <c r="A35" s="12">
        <v>8525</v>
      </c>
      <c r="B35" s="12" t="s">
        <v>149</v>
      </c>
      <c r="C35" t="s">
        <v>150</v>
      </c>
    </row>
    <row r="36" spans="1:3" x14ac:dyDescent="0.25">
      <c r="A36" s="12">
        <v>8576</v>
      </c>
      <c r="B36" s="12" t="s">
        <v>151</v>
      </c>
      <c r="C36" t="s">
        <v>152</v>
      </c>
    </row>
    <row r="37" spans="1:3" x14ac:dyDescent="0.25">
      <c r="A37" s="12">
        <v>8760</v>
      </c>
      <c r="B37" s="12" t="s">
        <v>153</v>
      </c>
      <c r="C37" t="s">
        <v>154</v>
      </c>
    </row>
    <row r="38" spans="1:3" x14ac:dyDescent="0.25">
      <c r="A38" s="12">
        <v>9932</v>
      </c>
      <c r="B38" s="12" t="s">
        <v>799</v>
      </c>
      <c r="C38" t="s">
        <v>800</v>
      </c>
    </row>
    <row r="39" spans="1:3" x14ac:dyDescent="0.25">
      <c r="A39" s="12">
        <v>9965</v>
      </c>
      <c r="B39" s="12" t="s">
        <v>7</v>
      </c>
      <c r="C39" t="s">
        <v>155</v>
      </c>
    </row>
    <row r="40" spans="1:3" x14ac:dyDescent="0.25">
      <c r="A40" s="12">
        <v>10262</v>
      </c>
      <c r="B40" s="12" t="s">
        <v>156</v>
      </c>
      <c r="C40" t="s">
        <v>157</v>
      </c>
    </row>
    <row r="41" spans="1:3" x14ac:dyDescent="0.25">
      <c r="A41" s="12">
        <v>10418</v>
      </c>
      <c r="B41" s="12" t="s">
        <v>158</v>
      </c>
      <c r="C41" t="s">
        <v>159</v>
      </c>
    </row>
    <row r="42" spans="1:3" x14ac:dyDescent="0.25">
      <c r="A42" s="12">
        <v>10442</v>
      </c>
      <c r="B42" s="12" t="s">
        <v>160</v>
      </c>
      <c r="C42" t="s">
        <v>161</v>
      </c>
    </row>
    <row r="43" spans="1:3" x14ac:dyDescent="0.25">
      <c r="A43" s="12">
        <v>10760</v>
      </c>
      <c r="B43" s="12" t="s">
        <v>162</v>
      </c>
      <c r="C43" t="s">
        <v>163</v>
      </c>
    </row>
    <row r="44" spans="1:3" x14ac:dyDescent="0.25">
      <c r="A44" s="12">
        <v>10923</v>
      </c>
      <c r="B44" s="12" t="s">
        <v>164</v>
      </c>
      <c r="C44" t="s">
        <v>165</v>
      </c>
    </row>
    <row r="45" spans="1:3" x14ac:dyDescent="0.25">
      <c r="A45" s="12">
        <v>10943</v>
      </c>
      <c r="B45" s="12" t="s">
        <v>166</v>
      </c>
      <c r="C45" t="s">
        <v>167</v>
      </c>
    </row>
    <row r="46" spans="1:3" x14ac:dyDescent="0.25">
      <c r="A46" s="12">
        <v>11221</v>
      </c>
      <c r="B46" s="12" t="s">
        <v>8</v>
      </c>
      <c r="C46" t="s">
        <v>168</v>
      </c>
    </row>
    <row r="47" spans="1:3" x14ac:dyDescent="0.25">
      <c r="A47" s="12">
        <v>11419</v>
      </c>
      <c r="B47" s="12" t="s">
        <v>169</v>
      </c>
      <c r="C47" t="s">
        <v>170</v>
      </c>
    </row>
    <row r="48" spans="1:3" x14ac:dyDescent="0.25">
      <c r="A48" s="12">
        <v>11466</v>
      </c>
      <c r="B48" s="12" t="s">
        <v>11</v>
      </c>
      <c r="C48" t="s">
        <v>171</v>
      </c>
    </row>
    <row r="49" spans="1:3" x14ac:dyDescent="0.25">
      <c r="A49" s="12">
        <v>12006</v>
      </c>
      <c r="B49" s="12" t="s">
        <v>172</v>
      </c>
      <c r="C49" t="s">
        <v>173</v>
      </c>
    </row>
    <row r="50" spans="1:3" x14ac:dyDescent="0.25">
      <c r="A50" s="12">
        <v>12011</v>
      </c>
      <c r="B50" s="12" t="s">
        <v>174</v>
      </c>
      <c r="C50" t="s">
        <v>175</v>
      </c>
    </row>
    <row r="51" spans="1:3" x14ac:dyDescent="0.25">
      <c r="A51" s="12">
        <v>12476</v>
      </c>
      <c r="B51" s="12" t="s">
        <v>176</v>
      </c>
      <c r="C51" t="s">
        <v>177</v>
      </c>
    </row>
    <row r="52" spans="1:3" x14ac:dyDescent="0.25">
      <c r="A52" s="12">
        <v>12641</v>
      </c>
      <c r="B52" s="12" t="s">
        <v>178</v>
      </c>
      <c r="C52" t="s">
        <v>179</v>
      </c>
    </row>
    <row r="53" spans="1:3" x14ac:dyDescent="0.25">
      <c r="A53" s="12">
        <v>12762</v>
      </c>
      <c r="B53" s="12" t="s">
        <v>9</v>
      </c>
      <c r="C53" t="s">
        <v>180</v>
      </c>
    </row>
    <row r="54" spans="1:3" x14ac:dyDescent="0.25">
      <c r="A54" s="12">
        <v>12965</v>
      </c>
      <c r="B54" s="12" t="s">
        <v>181</v>
      </c>
      <c r="C54" t="s">
        <v>182</v>
      </c>
    </row>
    <row r="55" spans="1:3" x14ac:dyDescent="0.25">
      <c r="A55" s="12">
        <v>14308</v>
      </c>
      <c r="B55" s="12" t="s">
        <v>183</v>
      </c>
      <c r="C55" t="s">
        <v>184</v>
      </c>
    </row>
    <row r="56" spans="1:3" x14ac:dyDescent="0.25">
      <c r="A56" s="12">
        <v>14343</v>
      </c>
      <c r="B56" s="12" t="s">
        <v>10</v>
      </c>
      <c r="C56" t="s">
        <v>185</v>
      </c>
    </row>
    <row r="57" spans="1:3" x14ac:dyDescent="0.25">
      <c r="A57" s="12">
        <v>14794</v>
      </c>
      <c r="B57" s="12" t="s">
        <v>186</v>
      </c>
      <c r="C57" t="s">
        <v>187</v>
      </c>
    </row>
    <row r="58" spans="1:3" x14ac:dyDescent="0.25">
      <c r="A58" s="12">
        <v>15688</v>
      </c>
      <c r="B58" s="12" t="s">
        <v>188</v>
      </c>
      <c r="C58" t="s">
        <v>189</v>
      </c>
    </row>
    <row r="59" spans="1:3" x14ac:dyDescent="0.25">
      <c r="A59" s="12">
        <v>15722</v>
      </c>
      <c r="B59" s="12" t="s">
        <v>190</v>
      </c>
      <c r="C59" t="s">
        <v>191</v>
      </c>
    </row>
    <row r="60" spans="1:3" x14ac:dyDescent="0.25">
      <c r="A60" s="12">
        <v>15892</v>
      </c>
      <c r="B60" s="12" t="s">
        <v>192</v>
      </c>
      <c r="C60" t="s">
        <v>193</v>
      </c>
    </row>
    <row r="61" spans="1:3" x14ac:dyDescent="0.25">
      <c r="A61" s="12">
        <v>17027</v>
      </c>
      <c r="B61" s="12" t="s">
        <v>194</v>
      </c>
      <c r="C61" t="s">
        <v>195</v>
      </c>
    </row>
    <row r="62" spans="1:3" x14ac:dyDescent="0.25">
      <c r="A62" s="12">
        <v>17452</v>
      </c>
      <c r="B62" s="12" t="s">
        <v>801</v>
      </c>
      <c r="C62" t="s">
        <v>802</v>
      </c>
    </row>
    <row r="63" spans="1:3" x14ac:dyDescent="0.25">
      <c r="A63" s="12">
        <v>17529</v>
      </c>
      <c r="B63" s="12" t="s">
        <v>196</v>
      </c>
      <c r="C63" t="s">
        <v>197</v>
      </c>
    </row>
    <row r="64" spans="1:3" x14ac:dyDescent="0.25">
      <c r="A64" s="12">
        <v>17531</v>
      </c>
      <c r="B64" s="12" t="s">
        <v>198</v>
      </c>
      <c r="C64" t="s">
        <v>199</v>
      </c>
    </row>
    <row r="65" spans="1:3" x14ac:dyDescent="0.25">
      <c r="A65" s="12">
        <v>17601</v>
      </c>
      <c r="B65" s="12" t="s">
        <v>200</v>
      </c>
      <c r="C65" t="s">
        <v>201</v>
      </c>
    </row>
    <row r="66" spans="1:3" x14ac:dyDescent="0.25">
      <c r="A66" s="12">
        <v>17997</v>
      </c>
      <c r="B66" s="12" t="s">
        <v>202</v>
      </c>
      <c r="C66" t="s">
        <v>203</v>
      </c>
    </row>
    <row r="67" spans="1:3" x14ac:dyDescent="0.25">
      <c r="A67" s="12">
        <v>18033</v>
      </c>
      <c r="B67" s="12" t="s">
        <v>12</v>
      </c>
      <c r="C67" t="s">
        <v>204</v>
      </c>
    </row>
    <row r="68" spans="1:3" x14ac:dyDescent="0.25">
      <c r="A68" s="12">
        <v>18074</v>
      </c>
      <c r="B68" s="12" t="s">
        <v>205</v>
      </c>
      <c r="C68" t="s">
        <v>206</v>
      </c>
    </row>
    <row r="69" spans="1:3" x14ac:dyDescent="0.25">
      <c r="A69" s="12">
        <v>18471</v>
      </c>
      <c r="B69" s="12" t="s">
        <v>207</v>
      </c>
      <c r="C69" t="s">
        <v>208</v>
      </c>
    </row>
    <row r="70" spans="1:3" x14ac:dyDescent="0.25">
      <c r="A70" s="12">
        <v>19116</v>
      </c>
      <c r="B70" s="12" t="s">
        <v>13</v>
      </c>
      <c r="C70" t="s">
        <v>209</v>
      </c>
    </row>
    <row r="71" spans="1:3" x14ac:dyDescent="0.25">
      <c r="A71" s="12">
        <v>19416</v>
      </c>
      <c r="B71" s="12" t="s">
        <v>210</v>
      </c>
      <c r="C71" t="s">
        <v>211</v>
      </c>
    </row>
    <row r="72" spans="1:3" x14ac:dyDescent="0.25">
      <c r="A72" s="12">
        <v>20280</v>
      </c>
      <c r="B72" s="12" t="s">
        <v>212</v>
      </c>
      <c r="C72" t="s">
        <v>213</v>
      </c>
    </row>
    <row r="73" spans="1:3" x14ac:dyDescent="0.25">
      <c r="A73" s="12">
        <v>20297</v>
      </c>
      <c r="B73" s="12" t="s">
        <v>214</v>
      </c>
      <c r="C73" t="s">
        <v>215</v>
      </c>
    </row>
    <row r="74" spans="1:3" x14ac:dyDescent="0.25">
      <c r="A74" s="12">
        <v>20359</v>
      </c>
      <c r="B74" s="12" t="s">
        <v>15</v>
      </c>
      <c r="C74" t="s">
        <v>216</v>
      </c>
    </row>
    <row r="75" spans="1:3" x14ac:dyDescent="0.25">
      <c r="A75" s="12">
        <v>21726</v>
      </c>
      <c r="B75" s="12" t="s">
        <v>217</v>
      </c>
      <c r="C75" t="s">
        <v>218</v>
      </c>
    </row>
    <row r="76" spans="1:3" x14ac:dyDescent="0.25">
      <c r="A76" s="12">
        <v>22110</v>
      </c>
      <c r="B76" s="12" t="s">
        <v>219</v>
      </c>
      <c r="C76" t="s">
        <v>220</v>
      </c>
    </row>
    <row r="77" spans="1:3" x14ac:dyDescent="0.25">
      <c r="A77" s="12">
        <v>22185</v>
      </c>
      <c r="B77" s="12" t="s">
        <v>16</v>
      </c>
      <c r="C77" t="s">
        <v>221</v>
      </c>
    </row>
    <row r="78" spans="1:3" x14ac:dyDescent="0.25">
      <c r="A78" s="12">
        <v>22270</v>
      </c>
      <c r="B78" s="12" t="s">
        <v>222</v>
      </c>
      <c r="C78" t="s">
        <v>223</v>
      </c>
    </row>
    <row r="79" spans="1:3" x14ac:dyDescent="0.25">
      <c r="A79" s="12">
        <v>22289</v>
      </c>
      <c r="B79" s="12" t="s">
        <v>224</v>
      </c>
      <c r="C79" t="s">
        <v>225</v>
      </c>
    </row>
    <row r="80" spans="1:3" x14ac:dyDescent="0.25">
      <c r="A80" s="12">
        <v>22834</v>
      </c>
      <c r="B80" s="12" t="s">
        <v>17</v>
      </c>
      <c r="C80" t="s">
        <v>226</v>
      </c>
    </row>
    <row r="81" spans="1:3" x14ac:dyDescent="0.25">
      <c r="A81" s="12">
        <v>23557</v>
      </c>
      <c r="B81" s="12" t="s">
        <v>227</v>
      </c>
      <c r="C81" t="s">
        <v>228</v>
      </c>
    </row>
    <row r="82" spans="1:3" x14ac:dyDescent="0.25">
      <c r="A82" s="12">
        <v>23592</v>
      </c>
      <c r="B82" s="12" t="s">
        <v>18</v>
      </c>
      <c r="C82" t="s">
        <v>229</v>
      </c>
    </row>
    <row r="83" spans="1:3" x14ac:dyDescent="0.25">
      <c r="A83" s="12">
        <v>23729</v>
      </c>
      <c r="B83" s="12" t="s">
        <v>230</v>
      </c>
      <c r="C83" t="s">
        <v>231</v>
      </c>
    </row>
    <row r="84" spans="1:3" x14ac:dyDescent="0.25">
      <c r="A84" s="12">
        <v>23855</v>
      </c>
      <c r="B84" s="12" t="s">
        <v>232</v>
      </c>
      <c r="C84" t="s">
        <v>233</v>
      </c>
    </row>
    <row r="85" spans="1:3" x14ac:dyDescent="0.25">
      <c r="A85" s="12">
        <v>23948</v>
      </c>
      <c r="B85" s="12" t="s">
        <v>234</v>
      </c>
      <c r="C85" t="s">
        <v>235</v>
      </c>
    </row>
    <row r="86" spans="1:3" x14ac:dyDescent="0.25">
      <c r="A86" s="12">
        <v>23957</v>
      </c>
      <c r="B86" s="12" t="s">
        <v>236</v>
      </c>
      <c r="C86" t="s">
        <v>237</v>
      </c>
    </row>
    <row r="87" spans="1:3" x14ac:dyDescent="0.25">
      <c r="A87" s="12">
        <v>24305</v>
      </c>
      <c r="B87" s="12" t="s">
        <v>19</v>
      </c>
      <c r="C87" t="s">
        <v>238</v>
      </c>
    </row>
    <row r="88" spans="1:3" x14ac:dyDescent="0.25">
      <c r="A88" s="12">
        <v>24480</v>
      </c>
      <c r="B88" s="12" t="s">
        <v>239</v>
      </c>
      <c r="C88" t="s">
        <v>240</v>
      </c>
    </row>
    <row r="89" spans="1:3" x14ac:dyDescent="0.25">
      <c r="A89" s="12">
        <v>24536</v>
      </c>
      <c r="B89" s="12" t="s">
        <v>241</v>
      </c>
      <c r="C89" t="s">
        <v>242</v>
      </c>
    </row>
    <row r="90" spans="1:3" x14ac:dyDescent="0.25">
      <c r="A90" s="12">
        <v>25025</v>
      </c>
      <c r="B90" s="12" t="s">
        <v>20</v>
      </c>
      <c r="C90" t="s">
        <v>243</v>
      </c>
    </row>
    <row r="91" spans="1:3" x14ac:dyDescent="0.25">
      <c r="A91" s="12">
        <v>25034</v>
      </c>
      <c r="B91" s="12" t="s">
        <v>244</v>
      </c>
      <c r="C91" t="s">
        <v>245</v>
      </c>
    </row>
    <row r="92" spans="1:3" x14ac:dyDescent="0.25">
      <c r="A92" s="12">
        <v>25040</v>
      </c>
      <c r="B92" s="12" t="s">
        <v>246</v>
      </c>
      <c r="C92" t="s">
        <v>247</v>
      </c>
    </row>
    <row r="93" spans="1:3" x14ac:dyDescent="0.25">
      <c r="A93" s="12">
        <v>25282</v>
      </c>
      <c r="B93" s="12" t="s">
        <v>248</v>
      </c>
      <c r="C93" t="s">
        <v>249</v>
      </c>
    </row>
    <row r="94" spans="1:3" x14ac:dyDescent="0.25">
      <c r="A94" s="12">
        <v>25524</v>
      </c>
      <c r="B94" s="12" t="s">
        <v>21</v>
      </c>
      <c r="C94" t="s">
        <v>250</v>
      </c>
    </row>
    <row r="95" spans="1:3" x14ac:dyDescent="0.25">
      <c r="A95" s="12">
        <v>25628</v>
      </c>
      <c r="B95" s="12" t="s">
        <v>251</v>
      </c>
      <c r="C95" t="s">
        <v>252</v>
      </c>
    </row>
    <row r="96" spans="1:3" x14ac:dyDescent="0.25">
      <c r="A96" s="12">
        <v>25707</v>
      </c>
      <c r="B96" s="12" t="s">
        <v>22</v>
      </c>
      <c r="C96" t="s">
        <v>253</v>
      </c>
    </row>
    <row r="97" spans="1:3" x14ac:dyDescent="0.25">
      <c r="A97" s="12">
        <v>27748</v>
      </c>
      <c r="B97" s="12" t="s">
        <v>24</v>
      </c>
      <c r="C97" t="s">
        <v>254</v>
      </c>
    </row>
    <row r="98" spans="1:3" x14ac:dyDescent="0.25">
      <c r="A98" s="12">
        <v>27760</v>
      </c>
      <c r="B98" s="12" t="s">
        <v>23</v>
      </c>
      <c r="C98" t="s">
        <v>255</v>
      </c>
    </row>
    <row r="99" spans="1:3" x14ac:dyDescent="0.25">
      <c r="A99" s="12">
        <v>27941</v>
      </c>
      <c r="B99" s="12" t="s">
        <v>256</v>
      </c>
      <c r="C99" t="s">
        <v>257</v>
      </c>
    </row>
    <row r="100" spans="1:3" x14ac:dyDescent="0.25">
      <c r="A100" s="12">
        <v>28024</v>
      </c>
      <c r="B100" s="12" t="s">
        <v>258</v>
      </c>
      <c r="C100" t="s">
        <v>259</v>
      </c>
    </row>
    <row r="101" spans="1:3" x14ac:dyDescent="0.25">
      <c r="A101" s="12">
        <v>28069</v>
      </c>
      <c r="B101" s="12" t="s">
        <v>260</v>
      </c>
      <c r="C101" t="s">
        <v>261</v>
      </c>
    </row>
    <row r="102" spans="1:3" x14ac:dyDescent="0.25">
      <c r="A102" s="12">
        <v>28194</v>
      </c>
      <c r="B102" s="12" t="s">
        <v>262</v>
      </c>
      <c r="C102" t="s">
        <v>263</v>
      </c>
    </row>
    <row r="103" spans="1:3" x14ac:dyDescent="0.25">
      <c r="A103" s="12">
        <v>28203</v>
      </c>
      <c r="B103" s="12" t="s">
        <v>264</v>
      </c>
      <c r="C103" t="s">
        <v>265</v>
      </c>
    </row>
    <row r="104" spans="1:3" x14ac:dyDescent="0.25">
      <c r="A104" s="12">
        <v>28427</v>
      </c>
      <c r="B104" s="12" t="s">
        <v>820</v>
      </c>
      <c r="C104" t="s">
        <v>821</v>
      </c>
    </row>
    <row r="105" spans="1:3" x14ac:dyDescent="0.25">
      <c r="A105" s="12">
        <v>28673</v>
      </c>
      <c r="B105" s="12" t="s">
        <v>266</v>
      </c>
      <c r="C105" t="s">
        <v>267</v>
      </c>
    </row>
    <row r="106" spans="1:3" x14ac:dyDescent="0.25">
      <c r="A106" s="12">
        <v>28851</v>
      </c>
      <c r="B106" s="12" t="s">
        <v>268</v>
      </c>
      <c r="C106" t="s">
        <v>269</v>
      </c>
    </row>
    <row r="107" spans="1:3" x14ac:dyDescent="0.25">
      <c r="A107" s="12">
        <v>29549</v>
      </c>
      <c r="B107" s="12" t="s">
        <v>270</v>
      </c>
      <c r="C107" t="s">
        <v>271</v>
      </c>
    </row>
    <row r="108" spans="1:3" x14ac:dyDescent="0.25">
      <c r="A108" s="12">
        <v>29555</v>
      </c>
      <c r="B108" s="12" t="s">
        <v>272</v>
      </c>
      <c r="C108" t="s">
        <v>273</v>
      </c>
    </row>
    <row r="109" spans="1:3" x14ac:dyDescent="0.25">
      <c r="A109" s="12">
        <v>29597</v>
      </c>
      <c r="B109" s="12" t="s">
        <v>274</v>
      </c>
      <c r="C109" t="s">
        <v>275</v>
      </c>
    </row>
    <row r="110" spans="1:3" x14ac:dyDescent="0.25">
      <c r="A110" s="12">
        <v>29627</v>
      </c>
      <c r="B110" s="12" t="s">
        <v>27</v>
      </c>
      <c r="C110" t="s">
        <v>276</v>
      </c>
    </row>
    <row r="111" spans="1:3" x14ac:dyDescent="0.25">
      <c r="A111" s="12">
        <v>29629</v>
      </c>
      <c r="B111" s="12" t="s">
        <v>28</v>
      </c>
      <c r="C111" t="s">
        <v>277</v>
      </c>
    </row>
    <row r="112" spans="1:3" x14ac:dyDescent="0.25">
      <c r="A112" s="12">
        <v>29689</v>
      </c>
      <c r="B112" s="12" t="s">
        <v>813</v>
      </c>
      <c r="C112" t="s">
        <v>814</v>
      </c>
    </row>
    <row r="113" spans="1:3" x14ac:dyDescent="0.25">
      <c r="A113" s="12">
        <v>29834</v>
      </c>
      <c r="B113" s="12" t="s">
        <v>278</v>
      </c>
      <c r="C113" t="s">
        <v>279</v>
      </c>
    </row>
    <row r="114" spans="1:3" x14ac:dyDescent="0.25">
      <c r="A114" s="12">
        <v>30159</v>
      </c>
      <c r="B114" s="12" t="s">
        <v>280</v>
      </c>
      <c r="C114" t="s">
        <v>281</v>
      </c>
    </row>
    <row r="115" spans="1:3" x14ac:dyDescent="0.25">
      <c r="A115" s="12">
        <v>30912</v>
      </c>
      <c r="B115" s="12" t="s">
        <v>282</v>
      </c>
      <c r="C115" t="s">
        <v>283</v>
      </c>
    </row>
    <row r="116" spans="1:3" x14ac:dyDescent="0.25">
      <c r="A116" s="12">
        <v>30960</v>
      </c>
      <c r="B116" s="12" t="s">
        <v>284</v>
      </c>
      <c r="C116" t="s">
        <v>285</v>
      </c>
    </row>
    <row r="117" spans="1:3" x14ac:dyDescent="0.25">
      <c r="A117" s="12">
        <v>30966</v>
      </c>
      <c r="B117" s="12" t="s">
        <v>286</v>
      </c>
      <c r="C117" t="s">
        <v>287</v>
      </c>
    </row>
    <row r="118" spans="1:3" x14ac:dyDescent="0.25">
      <c r="A118" s="12">
        <v>30971</v>
      </c>
      <c r="B118" s="12" t="s">
        <v>29</v>
      </c>
      <c r="C118" t="s">
        <v>288</v>
      </c>
    </row>
    <row r="119" spans="1:3" x14ac:dyDescent="0.25">
      <c r="A119" s="12">
        <v>31042</v>
      </c>
      <c r="B119" s="12" t="s">
        <v>289</v>
      </c>
      <c r="C119" t="s">
        <v>290</v>
      </c>
    </row>
    <row r="120" spans="1:3" x14ac:dyDescent="0.25">
      <c r="A120" s="12">
        <v>31305</v>
      </c>
      <c r="B120" s="12" t="s">
        <v>291</v>
      </c>
      <c r="C120" t="s">
        <v>292</v>
      </c>
    </row>
    <row r="121" spans="1:3" x14ac:dyDescent="0.25">
      <c r="A121" s="12">
        <v>31395</v>
      </c>
      <c r="B121" s="12" t="s">
        <v>293</v>
      </c>
      <c r="C121" t="s">
        <v>294</v>
      </c>
    </row>
    <row r="122" spans="1:3" x14ac:dyDescent="0.25">
      <c r="A122" s="12">
        <v>31784</v>
      </c>
      <c r="B122" s="12" t="s">
        <v>295</v>
      </c>
      <c r="C122" t="s">
        <v>296</v>
      </c>
    </row>
    <row r="123" spans="1:3" x14ac:dyDescent="0.25">
      <c r="A123" s="12">
        <v>31857</v>
      </c>
      <c r="B123" s="12" t="s">
        <v>297</v>
      </c>
      <c r="C123" t="s">
        <v>298</v>
      </c>
    </row>
    <row r="124" spans="1:3" x14ac:dyDescent="0.25">
      <c r="A124" s="12">
        <v>32570</v>
      </c>
      <c r="B124" s="12" t="s">
        <v>30</v>
      </c>
      <c r="C124" t="s">
        <v>299</v>
      </c>
    </row>
    <row r="125" spans="1:3" x14ac:dyDescent="0.25">
      <c r="A125" s="12">
        <v>32631</v>
      </c>
      <c r="B125" s="12" t="s">
        <v>300</v>
      </c>
      <c r="C125" t="s">
        <v>301</v>
      </c>
    </row>
    <row r="126" spans="1:3" x14ac:dyDescent="0.25">
      <c r="A126" s="12">
        <v>32916</v>
      </c>
      <c r="B126" s="12" t="s">
        <v>302</v>
      </c>
      <c r="C126" t="s">
        <v>303</v>
      </c>
    </row>
    <row r="127" spans="1:3" x14ac:dyDescent="0.25">
      <c r="A127" s="12">
        <v>32963</v>
      </c>
      <c r="B127" s="12" t="s">
        <v>304</v>
      </c>
      <c r="C127" t="s">
        <v>305</v>
      </c>
    </row>
    <row r="128" spans="1:3" x14ac:dyDescent="0.25">
      <c r="A128" s="12">
        <v>33114</v>
      </c>
      <c r="B128" s="12" t="s">
        <v>306</v>
      </c>
      <c r="C128" t="s">
        <v>307</v>
      </c>
    </row>
    <row r="129" spans="1:3" x14ac:dyDescent="0.25">
      <c r="A129" s="12">
        <v>33148</v>
      </c>
      <c r="B129" s="12" t="s">
        <v>308</v>
      </c>
      <c r="C129" t="s">
        <v>309</v>
      </c>
    </row>
    <row r="130" spans="1:3" x14ac:dyDescent="0.25">
      <c r="A130" s="12">
        <v>33151</v>
      </c>
      <c r="B130" s="12" t="s">
        <v>310</v>
      </c>
      <c r="C130" t="s">
        <v>311</v>
      </c>
    </row>
    <row r="131" spans="1:3" x14ac:dyDescent="0.25">
      <c r="A131" s="12">
        <v>33409</v>
      </c>
      <c r="B131" s="12" t="s">
        <v>312</v>
      </c>
      <c r="C131" t="s">
        <v>313</v>
      </c>
    </row>
    <row r="132" spans="1:3" x14ac:dyDescent="0.25">
      <c r="A132" s="12">
        <v>33575</v>
      </c>
      <c r="B132" s="12" t="s">
        <v>314</v>
      </c>
      <c r="C132" t="s">
        <v>315</v>
      </c>
    </row>
    <row r="133" spans="1:3" x14ac:dyDescent="0.25">
      <c r="A133" s="12">
        <v>33894</v>
      </c>
      <c r="B133" s="12" t="s">
        <v>31</v>
      </c>
      <c r="C133" t="s">
        <v>316</v>
      </c>
    </row>
    <row r="134" spans="1:3" x14ac:dyDescent="0.25">
      <c r="A134" s="12">
        <v>34163</v>
      </c>
      <c r="B134" s="12" t="s">
        <v>317</v>
      </c>
      <c r="C134" t="s">
        <v>318</v>
      </c>
    </row>
    <row r="135" spans="1:3" x14ac:dyDescent="0.25">
      <c r="A135" s="12">
        <v>34169</v>
      </c>
      <c r="B135" s="12" t="s">
        <v>319</v>
      </c>
      <c r="C135" t="s">
        <v>320</v>
      </c>
    </row>
    <row r="136" spans="1:3" x14ac:dyDescent="0.25">
      <c r="A136" s="12">
        <v>34253</v>
      </c>
      <c r="B136" s="12" t="s">
        <v>34</v>
      </c>
      <c r="C136" t="s">
        <v>321</v>
      </c>
    </row>
    <row r="137" spans="1:3" x14ac:dyDescent="0.25">
      <c r="A137" s="12">
        <v>34301</v>
      </c>
      <c r="B137" s="12" t="s">
        <v>322</v>
      </c>
      <c r="C137" t="s">
        <v>323</v>
      </c>
    </row>
    <row r="138" spans="1:3" x14ac:dyDescent="0.25">
      <c r="A138" s="12">
        <v>34304</v>
      </c>
      <c r="B138" s="12" t="s">
        <v>324</v>
      </c>
      <c r="C138" t="s">
        <v>325</v>
      </c>
    </row>
    <row r="139" spans="1:3" x14ac:dyDescent="0.25">
      <c r="A139" s="12">
        <v>35359</v>
      </c>
      <c r="B139" s="12" t="s">
        <v>326</v>
      </c>
      <c r="C139" t="s">
        <v>327</v>
      </c>
    </row>
    <row r="140" spans="1:3" x14ac:dyDescent="0.25">
      <c r="A140" s="12">
        <v>35420</v>
      </c>
      <c r="B140" s="12" t="s">
        <v>328</v>
      </c>
      <c r="C140" t="s">
        <v>329</v>
      </c>
    </row>
    <row r="141" spans="1:3" x14ac:dyDescent="0.25">
      <c r="A141" s="12">
        <v>35506</v>
      </c>
      <c r="B141" s="12" t="s">
        <v>32</v>
      </c>
      <c r="C141" t="s">
        <v>330</v>
      </c>
    </row>
    <row r="142" spans="1:3" x14ac:dyDescent="0.25">
      <c r="A142" s="12">
        <v>36173</v>
      </c>
      <c r="B142" s="12" t="s">
        <v>331</v>
      </c>
      <c r="C142" t="s">
        <v>332</v>
      </c>
    </row>
    <row r="143" spans="1:3" x14ac:dyDescent="0.25">
      <c r="A143" s="12">
        <v>36255</v>
      </c>
      <c r="B143" s="12" t="s">
        <v>333</v>
      </c>
      <c r="C143" t="s">
        <v>334</v>
      </c>
    </row>
    <row r="144" spans="1:3" x14ac:dyDescent="0.25">
      <c r="A144" s="12">
        <v>36364</v>
      </c>
      <c r="B144" s="12" t="s">
        <v>335</v>
      </c>
      <c r="C144" t="s">
        <v>336</v>
      </c>
    </row>
    <row r="145" spans="1:3" x14ac:dyDescent="0.25">
      <c r="A145" s="12">
        <v>36629</v>
      </c>
      <c r="B145" s="12" t="s">
        <v>337</v>
      </c>
      <c r="C145" t="s">
        <v>338</v>
      </c>
    </row>
    <row r="146" spans="1:3" x14ac:dyDescent="0.25">
      <c r="A146" s="12">
        <v>38030</v>
      </c>
      <c r="B146" s="12" t="s">
        <v>35</v>
      </c>
      <c r="C146" t="s">
        <v>339</v>
      </c>
    </row>
    <row r="147" spans="1:3" x14ac:dyDescent="0.25">
      <c r="A147" s="12">
        <v>38398</v>
      </c>
      <c r="B147" s="12" t="s">
        <v>340</v>
      </c>
      <c r="C147" t="s">
        <v>341</v>
      </c>
    </row>
    <row r="148" spans="1:3" x14ac:dyDescent="0.25">
      <c r="A148" s="12">
        <v>39149</v>
      </c>
      <c r="B148" s="12" t="s">
        <v>342</v>
      </c>
      <c r="C148" t="s">
        <v>343</v>
      </c>
    </row>
    <row r="149" spans="1:3" x14ac:dyDescent="0.25">
      <c r="A149" s="12">
        <v>39198</v>
      </c>
      <c r="B149" s="12" t="s">
        <v>344</v>
      </c>
      <c r="C149" t="s">
        <v>345</v>
      </c>
    </row>
    <row r="150" spans="1:3" x14ac:dyDescent="0.25">
      <c r="A150" s="12">
        <v>39237</v>
      </c>
      <c r="B150" s="12" t="s">
        <v>37</v>
      </c>
      <c r="C150" t="s">
        <v>346</v>
      </c>
    </row>
    <row r="151" spans="1:3" x14ac:dyDescent="0.25">
      <c r="A151" s="12">
        <v>39366</v>
      </c>
      <c r="B151" s="12" t="s">
        <v>347</v>
      </c>
      <c r="C151" t="s">
        <v>348</v>
      </c>
    </row>
    <row r="152" spans="1:3" x14ac:dyDescent="0.25">
      <c r="A152" s="12">
        <v>39408</v>
      </c>
      <c r="B152" s="12" t="s">
        <v>349</v>
      </c>
      <c r="C152" t="s">
        <v>350</v>
      </c>
    </row>
    <row r="153" spans="1:3" x14ac:dyDescent="0.25">
      <c r="A153" s="12">
        <v>39611</v>
      </c>
      <c r="B153" s="12" t="s">
        <v>351</v>
      </c>
      <c r="C153" t="s">
        <v>352</v>
      </c>
    </row>
    <row r="154" spans="1:3" x14ac:dyDescent="0.25">
      <c r="A154" s="12">
        <v>39648</v>
      </c>
      <c r="B154" s="12" t="s">
        <v>353</v>
      </c>
      <c r="C154" t="s">
        <v>784</v>
      </c>
    </row>
    <row r="155" spans="1:3" x14ac:dyDescent="0.25">
      <c r="A155" s="12">
        <v>39756</v>
      </c>
      <c r="B155" s="12" t="s">
        <v>354</v>
      </c>
      <c r="C155" t="s">
        <v>355</v>
      </c>
    </row>
    <row r="156" spans="1:3" x14ac:dyDescent="0.25">
      <c r="A156" s="12">
        <v>39806</v>
      </c>
      <c r="B156" s="12" t="s">
        <v>356</v>
      </c>
      <c r="C156" t="s">
        <v>357</v>
      </c>
    </row>
    <row r="157" spans="1:3" x14ac:dyDescent="0.25">
      <c r="A157" s="12">
        <v>39814</v>
      </c>
      <c r="B157" s="12" t="s">
        <v>358</v>
      </c>
      <c r="C157" t="s">
        <v>359</v>
      </c>
    </row>
    <row r="158" spans="1:3" x14ac:dyDescent="0.25">
      <c r="A158" s="12">
        <v>39933</v>
      </c>
      <c r="B158" s="12" t="s">
        <v>360</v>
      </c>
      <c r="C158" t="s">
        <v>361</v>
      </c>
    </row>
    <row r="159" spans="1:3" x14ac:dyDescent="0.25">
      <c r="A159" s="12">
        <v>40169</v>
      </c>
      <c r="B159" s="12" t="s">
        <v>38</v>
      </c>
      <c r="C159" t="s">
        <v>362</v>
      </c>
    </row>
    <row r="160" spans="1:3" x14ac:dyDescent="0.25">
      <c r="A160" s="12">
        <v>40214</v>
      </c>
      <c r="B160" s="12" t="s">
        <v>363</v>
      </c>
      <c r="C160" t="s">
        <v>364</v>
      </c>
    </row>
    <row r="161" spans="1:3" x14ac:dyDescent="0.25">
      <c r="A161" s="12">
        <v>41335</v>
      </c>
      <c r="B161" s="12" t="s">
        <v>365</v>
      </c>
      <c r="C161" t="s">
        <v>366</v>
      </c>
    </row>
    <row r="162" spans="1:3" x14ac:dyDescent="0.25">
      <c r="A162" s="12">
        <v>41546</v>
      </c>
      <c r="B162" s="12" t="s">
        <v>367</v>
      </c>
      <c r="C162" t="s">
        <v>368</v>
      </c>
    </row>
    <row r="163" spans="1:3" x14ac:dyDescent="0.25">
      <c r="A163" s="12">
        <v>41551</v>
      </c>
      <c r="B163" s="12" t="s">
        <v>369</v>
      </c>
      <c r="C163" t="s">
        <v>370</v>
      </c>
    </row>
    <row r="164" spans="1:3" x14ac:dyDescent="0.25">
      <c r="A164" s="12">
        <v>42031</v>
      </c>
      <c r="B164" s="12" t="s">
        <v>371</v>
      </c>
      <c r="C164" t="s">
        <v>372</v>
      </c>
    </row>
    <row r="165" spans="1:3" x14ac:dyDescent="0.25">
      <c r="A165" s="12">
        <v>42526</v>
      </c>
      <c r="B165" s="12" t="s">
        <v>373</v>
      </c>
      <c r="C165" t="s">
        <v>374</v>
      </c>
    </row>
    <row r="166" spans="1:3" x14ac:dyDescent="0.25">
      <c r="A166" s="12">
        <v>42600</v>
      </c>
      <c r="B166" s="12" t="s">
        <v>375</v>
      </c>
      <c r="C166" t="s">
        <v>376</v>
      </c>
    </row>
    <row r="167" spans="1:3" x14ac:dyDescent="0.25">
      <c r="A167" s="12">
        <v>42761</v>
      </c>
      <c r="B167" s="12" t="s">
        <v>39</v>
      </c>
      <c r="C167" t="s">
        <v>377</v>
      </c>
    </row>
    <row r="168" spans="1:3" x14ac:dyDescent="0.25">
      <c r="A168" s="12">
        <v>43189</v>
      </c>
      <c r="B168" s="12" t="s">
        <v>378</v>
      </c>
      <c r="C168" t="s">
        <v>379</v>
      </c>
    </row>
    <row r="169" spans="1:3" x14ac:dyDescent="0.25">
      <c r="A169" s="12">
        <v>43881</v>
      </c>
      <c r="B169" s="12" t="s">
        <v>380</v>
      </c>
      <c r="C169" t="s">
        <v>381</v>
      </c>
    </row>
    <row r="170" spans="1:3" x14ac:dyDescent="0.25">
      <c r="A170" s="12">
        <v>44018</v>
      </c>
      <c r="B170" s="12" t="s">
        <v>382</v>
      </c>
      <c r="C170" t="s">
        <v>383</v>
      </c>
    </row>
    <row r="171" spans="1:3" x14ac:dyDescent="0.25">
      <c r="A171" s="12">
        <v>44454</v>
      </c>
      <c r="B171" s="12" t="s">
        <v>384</v>
      </c>
      <c r="C171" t="s">
        <v>385</v>
      </c>
    </row>
    <row r="172" spans="1:3" x14ac:dyDescent="0.25">
      <c r="A172" s="12">
        <v>44476</v>
      </c>
      <c r="B172" s="12" t="s">
        <v>386</v>
      </c>
      <c r="C172" t="s">
        <v>387</v>
      </c>
    </row>
    <row r="173" spans="1:3" x14ac:dyDescent="0.25">
      <c r="A173" s="12">
        <v>44741</v>
      </c>
      <c r="B173" s="12" t="s">
        <v>388</v>
      </c>
      <c r="C173" t="s">
        <v>389</v>
      </c>
    </row>
    <row r="174" spans="1:3" x14ac:dyDescent="0.25">
      <c r="A174" s="12">
        <v>44793</v>
      </c>
      <c r="B174" s="12" t="s">
        <v>41</v>
      </c>
      <c r="C174" t="s">
        <v>390</v>
      </c>
    </row>
    <row r="175" spans="1:3" x14ac:dyDescent="0.25">
      <c r="A175" s="12">
        <v>45049</v>
      </c>
      <c r="B175" s="12" t="s">
        <v>391</v>
      </c>
      <c r="C175" t="s">
        <v>392</v>
      </c>
    </row>
    <row r="176" spans="1:3" x14ac:dyDescent="0.25">
      <c r="A176" s="12">
        <v>45110</v>
      </c>
      <c r="B176" s="12" t="s">
        <v>393</v>
      </c>
      <c r="C176" t="s">
        <v>394</v>
      </c>
    </row>
    <row r="177" spans="1:3" x14ac:dyDescent="0.25">
      <c r="A177" s="12">
        <v>45283</v>
      </c>
      <c r="B177" s="12" t="s">
        <v>395</v>
      </c>
      <c r="C177" t="s">
        <v>396</v>
      </c>
    </row>
    <row r="178" spans="1:3" x14ac:dyDescent="0.25">
      <c r="A178" s="12">
        <v>45948</v>
      </c>
      <c r="B178" s="12" t="s">
        <v>397</v>
      </c>
      <c r="C178" t="s">
        <v>398</v>
      </c>
    </row>
    <row r="179" spans="1:3" x14ac:dyDescent="0.25">
      <c r="A179" s="12">
        <v>46878</v>
      </c>
      <c r="B179" s="12" t="s">
        <v>399</v>
      </c>
      <c r="C179" t="s">
        <v>400</v>
      </c>
    </row>
    <row r="180" spans="1:3" x14ac:dyDescent="0.25">
      <c r="A180" s="12">
        <v>47054</v>
      </c>
      <c r="B180" s="12" t="s">
        <v>401</v>
      </c>
      <c r="C180" t="s">
        <v>402</v>
      </c>
    </row>
    <row r="181" spans="1:3" x14ac:dyDescent="0.25">
      <c r="A181" s="12">
        <v>47056</v>
      </c>
      <c r="B181" s="12" t="s">
        <v>403</v>
      </c>
      <c r="C181" t="s">
        <v>404</v>
      </c>
    </row>
    <row r="182" spans="1:3" x14ac:dyDescent="0.25">
      <c r="A182" s="12">
        <v>47102</v>
      </c>
      <c r="B182" s="12" t="s">
        <v>405</v>
      </c>
      <c r="C182" t="s">
        <v>406</v>
      </c>
    </row>
    <row r="183" spans="1:3" x14ac:dyDescent="0.25">
      <c r="A183" s="12">
        <v>47352</v>
      </c>
      <c r="B183" s="12" t="s">
        <v>407</v>
      </c>
      <c r="C183" t="s">
        <v>408</v>
      </c>
    </row>
    <row r="184" spans="1:3" x14ac:dyDescent="0.25">
      <c r="A184" s="12">
        <v>47811</v>
      </c>
      <c r="B184" s="12" t="s">
        <v>785</v>
      </c>
      <c r="C184" t="s">
        <v>409</v>
      </c>
    </row>
    <row r="185" spans="1:3" x14ac:dyDescent="0.25">
      <c r="A185" s="12">
        <v>48501</v>
      </c>
      <c r="B185" s="12" t="s">
        <v>410</v>
      </c>
      <c r="C185" t="s">
        <v>411</v>
      </c>
    </row>
    <row r="186" spans="1:3" x14ac:dyDescent="0.25">
      <c r="A186" s="12">
        <v>48502</v>
      </c>
      <c r="B186" s="12" t="s">
        <v>412</v>
      </c>
      <c r="C186" t="s">
        <v>413</v>
      </c>
    </row>
    <row r="187" spans="1:3" x14ac:dyDescent="0.25">
      <c r="A187" s="12">
        <v>48510</v>
      </c>
      <c r="B187" s="12" t="s">
        <v>414</v>
      </c>
      <c r="C187" t="s">
        <v>415</v>
      </c>
    </row>
    <row r="188" spans="1:3" x14ac:dyDescent="0.25">
      <c r="A188" s="12">
        <v>48976</v>
      </c>
      <c r="B188" s="12" t="s">
        <v>416</v>
      </c>
      <c r="C188" t="s">
        <v>417</v>
      </c>
    </row>
    <row r="189" spans="1:3" x14ac:dyDescent="0.25">
      <c r="A189" s="12">
        <v>49041</v>
      </c>
      <c r="B189" s="12" t="s">
        <v>418</v>
      </c>
      <c r="C189" t="s">
        <v>419</v>
      </c>
    </row>
    <row r="190" spans="1:3" x14ac:dyDescent="0.25">
      <c r="A190" s="12">
        <v>49052</v>
      </c>
      <c r="B190" s="12" t="s">
        <v>420</v>
      </c>
      <c r="C190" t="s">
        <v>421</v>
      </c>
    </row>
    <row r="191" spans="1:3" x14ac:dyDescent="0.25">
      <c r="A191" s="12">
        <v>49507</v>
      </c>
      <c r="B191" s="12" t="s">
        <v>422</v>
      </c>
      <c r="C191" t="s">
        <v>423</v>
      </c>
    </row>
    <row r="192" spans="1:3" x14ac:dyDescent="0.25">
      <c r="A192" s="12">
        <v>49751</v>
      </c>
      <c r="B192" s="12" t="s">
        <v>424</v>
      </c>
      <c r="C192" t="s">
        <v>425</v>
      </c>
    </row>
    <row r="193" spans="1:3" x14ac:dyDescent="0.25">
      <c r="A193" s="12">
        <v>49755</v>
      </c>
      <c r="B193" s="12" t="s">
        <v>426</v>
      </c>
      <c r="C193" t="s">
        <v>427</v>
      </c>
    </row>
    <row r="194" spans="1:3" x14ac:dyDescent="0.25">
      <c r="A194" s="12">
        <v>50823</v>
      </c>
      <c r="B194" s="12" t="s">
        <v>428</v>
      </c>
      <c r="C194" t="s">
        <v>429</v>
      </c>
    </row>
    <row r="195" spans="1:3" x14ac:dyDescent="0.25">
      <c r="A195" s="12">
        <v>50827</v>
      </c>
      <c r="B195" s="12" t="s">
        <v>43</v>
      </c>
      <c r="C195" t="s">
        <v>430</v>
      </c>
    </row>
    <row r="196" spans="1:3" x14ac:dyDescent="0.25">
      <c r="A196" s="12">
        <v>51165</v>
      </c>
      <c r="B196" s="12" t="s">
        <v>44</v>
      </c>
      <c r="C196" t="s">
        <v>431</v>
      </c>
    </row>
    <row r="197" spans="1:3" x14ac:dyDescent="0.25">
      <c r="A197" s="12">
        <v>51220</v>
      </c>
      <c r="B197" s="12" t="s">
        <v>822</v>
      </c>
      <c r="C197" t="s">
        <v>823</v>
      </c>
    </row>
    <row r="198" spans="1:3" x14ac:dyDescent="0.25">
      <c r="A198" s="12">
        <v>52346</v>
      </c>
      <c r="B198" s="12" t="s">
        <v>432</v>
      </c>
      <c r="C198" t="s">
        <v>433</v>
      </c>
    </row>
    <row r="199" spans="1:3" x14ac:dyDescent="0.25">
      <c r="A199" s="12">
        <v>52549</v>
      </c>
      <c r="B199" s="12" t="s">
        <v>434</v>
      </c>
      <c r="C199" t="s">
        <v>435</v>
      </c>
    </row>
    <row r="200" spans="1:3" x14ac:dyDescent="0.25">
      <c r="A200" s="12">
        <v>52592</v>
      </c>
      <c r="B200" s="12" t="s">
        <v>436</v>
      </c>
      <c r="C200" t="s">
        <v>803</v>
      </c>
    </row>
    <row r="201" spans="1:3" x14ac:dyDescent="0.25">
      <c r="A201" s="12">
        <v>53178</v>
      </c>
      <c r="B201" s="12" t="s">
        <v>437</v>
      </c>
      <c r="C201" t="s">
        <v>438</v>
      </c>
    </row>
    <row r="202" spans="1:3" x14ac:dyDescent="0.25">
      <c r="A202" s="12">
        <v>53357</v>
      </c>
      <c r="B202" s="12" t="s">
        <v>786</v>
      </c>
      <c r="C202" t="s">
        <v>787</v>
      </c>
    </row>
    <row r="203" spans="1:3" x14ac:dyDescent="0.25">
      <c r="A203" s="12">
        <v>53471</v>
      </c>
      <c r="B203" s="12" t="s">
        <v>439</v>
      </c>
      <c r="C203" t="s">
        <v>440</v>
      </c>
    </row>
    <row r="204" spans="1:3" x14ac:dyDescent="0.25">
      <c r="A204" s="12">
        <v>53732</v>
      </c>
      <c r="B204" s="12" t="s">
        <v>45</v>
      </c>
      <c r="C204" t="s">
        <v>441</v>
      </c>
    </row>
    <row r="205" spans="1:3" x14ac:dyDescent="0.25">
      <c r="A205" s="12">
        <v>54438</v>
      </c>
      <c r="B205" s="12" t="s">
        <v>442</v>
      </c>
      <c r="C205" t="s">
        <v>443</v>
      </c>
    </row>
    <row r="206" spans="1:3" x14ac:dyDescent="0.25">
      <c r="A206" s="12">
        <v>54472</v>
      </c>
      <c r="B206" s="12" t="s">
        <v>46</v>
      </c>
      <c r="C206" t="s">
        <v>444</v>
      </c>
    </row>
    <row r="207" spans="1:3" x14ac:dyDescent="0.25">
      <c r="A207" s="12">
        <v>54576</v>
      </c>
      <c r="B207" s="12" t="s">
        <v>445</v>
      </c>
      <c r="C207" t="s">
        <v>446</v>
      </c>
    </row>
    <row r="208" spans="1:3" x14ac:dyDescent="0.25">
      <c r="A208" s="12">
        <v>54951</v>
      </c>
      <c r="B208" s="12" t="s">
        <v>47</v>
      </c>
      <c r="C208" t="s">
        <v>447</v>
      </c>
    </row>
    <row r="209" spans="1:3" x14ac:dyDescent="0.25">
      <c r="A209" s="12">
        <v>55122</v>
      </c>
      <c r="B209" s="12" t="s">
        <v>448</v>
      </c>
      <c r="C209" t="s">
        <v>449</v>
      </c>
    </row>
    <row r="210" spans="1:3" x14ac:dyDescent="0.25">
      <c r="A210" s="12">
        <v>56179</v>
      </c>
      <c r="B210" s="12" t="s">
        <v>450</v>
      </c>
      <c r="C210" t="s">
        <v>451</v>
      </c>
    </row>
    <row r="211" spans="1:3" x14ac:dyDescent="0.25">
      <c r="A211" s="12">
        <v>56639</v>
      </c>
      <c r="B211" s="12" t="s">
        <v>452</v>
      </c>
      <c r="C211" t="s">
        <v>453</v>
      </c>
    </row>
    <row r="212" spans="1:3" x14ac:dyDescent="0.25">
      <c r="A212" s="12">
        <v>56891</v>
      </c>
      <c r="B212" s="12" t="s">
        <v>454</v>
      </c>
      <c r="C212" t="s">
        <v>455</v>
      </c>
    </row>
    <row r="213" spans="1:3" x14ac:dyDescent="0.25">
      <c r="A213" s="12">
        <v>58518</v>
      </c>
      <c r="B213" s="12" t="s">
        <v>48</v>
      </c>
      <c r="C213" t="s">
        <v>456</v>
      </c>
    </row>
    <row r="214" spans="1:3" x14ac:dyDescent="0.25">
      <c r="A214" s="12">
        <v>59103</v>
      </c>
      <c r="B214" s="12" t="s">
        <v>457</v>
      </c>
      <c r="C214" t="s">
        <v>458</v>
      </c>
    </row>
    <row r="215" spans="1:3" x14ac:dyDescent="0.25">
      <c r="A215" s="12">
        <v>59138</v>
      </c>
      <c r="B215" s="12" t="s">
        <v>49</v>
      </c>
      <c r="C215" t="s">
        <v>459</v>
      </c>
    </row>
    <row r="216" spans="1:3" x14ac:dyDescent="0.25">
      <c r="A216" s="12">
        <v>59145</v>
      </c>
      <c r="B216" s="12" t="s">
        <v>460</v>
      </c>
      <c r="C216" t="s">
        <v>461</v>
      </c>
    </row>
    <row r="217" spans="1:3" x14ac:dyDescent="0.25">
      <c r="A217" s="12">
        <v>59351</v>
      </c>
      <c r="B217" s="12" t="s">
        <v>462</v>
      </c>
      <c r="C217" t="s">
        <v>463</v>
      </c>
    </row>
    <row r="218" spans="1:3" x14ac:dyDescent="0.25">
      <c r="A218" s="12">
        <v>59689</v>
      </c>
      <c r="B218" s="12" t="s">
        <v>50</v>
      </c>
      <c r="C218" t="s">
        <v>464</v>
      </c>
    </row>
    <row r="219" spans="1:3" x14ac:dyDescent="0.25">
      <c r="A219" s="12">
        <v>59807</v>
      </c>
      <c r="B219" s="12" t="s">
        <v>465</v>
      </c>
      <c r="C219" t="s">
        <v>466</v>
      </c>
    </row>
    <row r="220" spans="1:3" x14ac:dyDescent="0.25">
      <c r="A220" s="12">
        <v>60083</v>
      </c>
      <c r="B220" s="12" t="s">
        <v>467</v>
      </c>
      <c r="C220" t="s">
        <v>468</v>
      </c>
    </row>
    <row r="221" spans="1:3" x14ac:dyDescent="0.25">
      <c r="A221" s="12">
        <v>60330</v>
      </c>
      <c r="B221" s="12" t="s">
        <v>51</v>
      </c>
      <c r="C221" t="s">
        <v>469</v>
      </c>
    </row>
    <row r="222" spans="1:3" x14ac:dyDescent="0.25">
      <c r="A222" s="12">
        <v>60424</v>
      </c>
      <c r="B222" s="12" t="s">
        <v>52</v>
      </c>
      <c r="C222" t="s">
        <v>470</v>
      </c>
    </row>
    <row r="223" spans="1:3" x14ac:dyDescent="0.25">
      <c r="A223" s="12">
        <v>60428</v>
      </c>
      <c r="B223" s="12" t="s">
        <v>53</v>
      </c>
      <c r="C223" t="s">
        <v>471</v>
      </c>
    </row>
    <row r="224" spans="1:3" x14ac:dyDescent="0.25">
      <c r="A224" s="12">
        <v>60500</v>
      </c>
      <c r="B224" s="12" t="s">
        <v>472</v>
      </c>
      <c r="C224" t="s">
        <v>473</v>
      </c>
    </row>
    <row r="225" spans="1:3" x14ac:dyDescent="0.25">
      <c r="A225" s="12">
        <v>60537</v>
      </c>
      <c r="B225" s="12" t="s">
        <v>54</v>
      </c>
      <c r="C225" t="s">
        <v>474</v>
      </c>
    </row>
    <row r="226" spans="1:3" x14ac:dyDescent="0.25">
      <c r="A226" s="12">
        <v>60910</v>
      </c>
      <c r="B226" s="12" t="s">
        <v>475</v>
      </c>
      <c r="C226" t="s">
        <v>476</v>
      </c>
    </row>
    <row r="227" spans="1:3" x14ac:dyDescent="0.25">
      <c r="A227" s="12">
        <v>61003</v>
      </c>
      <c r="B227" s="12" t="s">
        <v>55</v>
      </c>
      <c r="C227" t="s">
        <v>477</v>
      </c>
    </row>
    <row r="228" spans="1:3" x14ac:dyDescent="0.25">
      <c r="A228" s="12">
        <v>61503</v>
      </c>
      <c r="B228" s="12" t="s">
        <v>478</v>
      </c>
      <c r="C228" t="s">
        <v>479</v>
      </c>
    </row>
    <row r="229" spans="1:3" x14ac:dyDescent="0.25">
      <c r="A229" s="12">
        <v>68645</v>
      </c>
      <c r="B229" s="12" t="s">
        <v>480</v>
      </c>
      <c r="C229" t="s">
        <v>481</v>
      </c>
    </row>
    <row r="230" spans="1:3" x14ac:dyDescent="0.25">
      <c r="A230" s="12">
        <v>69873</v>
      </c>
      <c r="B230" s="12" t="s">
        <v>482</v>
      </c>
      <c r="C230" t="s">
        <v>483</v>
      </c>
    </row>
    <row r="231" spans="1:3" x14ac:dyDescent="0.25">
      <c r="A231" s="12">
        <v>70029</v>
      </c>
      <c r="B231" s="12" t="s">
        <v>484</v>
      </c>
      <c r="C231" t="s">
        <v>485</v>
      </c>
    </row>
    <row r="232" spans="1:3" x14ac:dyDescent="0.25">
      <c r="A232" s="12">
        <v>70158</v>
      </c>
      <c r="B232" s="12" t="s">
        <v>486</v>
      </c>
      <c r="C232" t="s">
        <v>487</v>
      </c>
    </row>
    <row r="233" spans="1:3" x14ac:dyDescent="0.25">
      <c r="A233" s="12">
        <v>70221</v>
      </c>
      <c r="B233" s="12" t="s">
        <v>56</v>
      </c>
      <c r="C233" t="s">
        <v>488</v>
      </c>
    </row>
    <row r="234" spans="1:3" x14ac:dyDescent="0.25">
      <c r="A234" s="12">
        <v>70751</v>
      </c>
      <c r="B234" s="12" t="s">
        <v>57</v>
      </c>
      <c r="C234" t="s">
        <v>489</v>
      </c>
    </row>
    <row r="235" spans="1:3" x14ac:dyDescent="0.25">
      <c r="A235" s="12">
        <v>70916</v>
      </c>
      <c r="B235" s="12" t="s">
        <v>490</v>
      </c>
      <c r="C235" t="s">
        <v>491</v>
      </c>
    </row>
    <row r="236" spans="1:3" x14ac:dyDescent="0.25">
      <c r="A236" s="12">
        <v>71715</v>
      </c>
      <c r="B236" s="12" t="s">
        <v>492</v>
      </c>
      <c r="C236" t="s">
        <v>493</v>
      </c>
    </row>
    <row r="237" spans="1:3" x14ac:dyDescent="0.25">
      <c r="A237" s="12">
        <v>72062</v>
      </c>
      <c r="B237" s="12" t="s">
        <v>494</v>
      </c>
      <c r="C237" t="s">
        <v>495</v>
      </c>
    </row>
    <row r="238" spans="1:3" x14ac:dyDescent="0.25">
      <c r="A238" s="12">
        <v>72079</v>
      </c>
      <c r="B238" s="12" t="s">
        <v>58</v>
      </c>
      <c r="C238" t="s">
        <v>496</v>
      </c>
    </row>
    <row r="239" spans="1:3" x14ac:dyDescent="0.25">
      <c r="A239" s="12">
        <v>72084</v>
      </c>
      <c r="B239" s="12" t="s">
        <v>497</v>
      </c>
      <c r="C239" t="s">
        <v>498</v>
      </c>
    </row>
    <row r="240" spans="1:3" x14ac:dyDescent="0.25">
      <c r="A240" s="12">
        <v>72188</v>
      </c>
      <c r="B240" s="12" t="s">
        <v>499</v>
      </c>
      <c r="C240" t="s">
        <v>500</v>
      </c>
    </row>
    <row r="241" spans="1:3" x14ac:dyDescent="0.25">
      <c r="A241" s="12">
        <v>72555</v>
      </c>
      <c r="B241" s="12" t="s">
        <v>501</v>
      </c>
      <c r="C241" t="s">
        <v>502</v>
      </c>
    </row>
    <row r="242" spans="1:3" x14ac:dyDescent="0.25">
      <c r="A242" s="12">
        <v>72598</v>
      </c>
      <c r="B242" s="12" t="s">
        <v>59</v>
      </c>
      <c r="C242" t="s">
        <v>503</v>
      </c>
    </row>
    <row r="243" spans="1:3" x14ac:dyDescent="0.25">
      <c r="A243" s="12">
        <v>72624</v>
      </c>
      <c r="B243" s="12" t="s">
        <v>504</v>
      </c>
      <c r="C243" t="s">
        <v>505</v>
      </c>
    </row>
    <row r="244" spans="1:3" x14ac:dyDescent="0.25">
      <c r="A244" s="12">
        <v>73300</v>
      </c>
      <c r="B244" s="12" t="s">
        <v>506</v>
      </c>
      <c r="C244" t="s">
        <v>507</v>
      </c>
    </row>
    <row r="245" spans="1:3" x14ac:dyDescent="0.25">
      <c r="A245" s="12">
        <v>74538</v>
      </c>
      <c r="B245" s="12" t="s">
        <v>508</v>
      </c>
      <c r="C245" t="s">
        <v>509</v>
      </c>
    </row>
    <row r="246" spans="1:3" x14ac:dyDescent="0.25">
      <c r="A246" s="12">
        <v>74592</v>
      </c>
      <c r="B246" s="12" t="s">
        <v>510</v>
      </c>
      <c r="C246" t="s">
        <v>511</v>
      </c>
    </row>
    <row r="247" spans="1:3" x14ac:dyDescent="0.25">
      <c r="A247" s="12">
        <v>74845</v>
      </c>
      <c r="B247" s="12" t="s">
        <v>512</v>
      </c>
      <c r="C247" t="s">
        <v>513</v>
      </c>
    </row>
    <row r="248" spans="1:3" x14ac:dyDescent="0.25">
      <c r="A248" s="12">
        <v>75076</v>
      </c>
      <c r="B248" s="12" t="s">
        <v>514</v>
      </c>
      <c r="C248" t="s">
        <v>515</v>
      </c>
    </row>
    <row r="249" spans="1:3" x14ac:dyDescent="0.25">
      <c r="A249" s="12">
        <v>75143</v>
      </c>
      <c r="B249" s="12" t="s">
        <v>516</v>
      </c>
      <c r="C249" t="s">
        <v>517</v>
      </c>
    </row>
    <row r="250" spans="1:3" x14ac:dyDescent="0.25">
      <c r="A250" s="12">
        <v>75216</v>
      </c>
      <c r="B250" s="12" t="s">
        <v>518</v>
      </c>
      <c r="C250" t="s">
        <v>519</v>
      </c>
    </row>
    <row r="251" spans="1:3" x14ac:dyDescent="0.25">
      <c r="A251" s="12">
        <v>75386</v>
      </c>
      <c r="B251" s="12" t="s">
        <v>60</v>
      </c>
      <c r="C251" t="s">
        <v>520</v>
      </c>
    </row>
    <row r="252" spans="1:3" x14ac:dyDescent="0.25">
      <c r="A252" s="12">
        <v>75613</v>
      </c>
      <c r="B252" s="12" t="s">
        <v>0</v>
      </c>
      <c r="C252" t="s">
        <v>521</v>
      </c>
    </row>
    <row r="253" spans="1:3" x14ac:dyDescent="0.25">
      <c r="A253" s="12">
        <v>75798</v>
      </c>
      <c r="B253" s="12" t="s">
        <v>522</v>
      </c>
      <c r="C253" t="s">
        <v>523</v>
      </c>
    </row>
    <row r="254" spans="1:3" x14ac:dyDescent="0.25">
      <c r="A254" s="12">
        <v>75849</v>
      </c>
      <c r="B254" s="12" t="s">
        <v>524</v>
      </c>
      <c r="C254" t="s">
        <v>525</v>
      </c>
    </row>
    <row r="255" spans="1:3" x14ac:dyDescent="0.25">
      <c r="A255" s="12">
        <v>76020</v>
      </c>
      <c r="B255" s="12" t="s">
        <v>526</v>
      </c>
      <c r="C255" t="s">
        <v>527</v>
      </c>
    </row>
    <row r="256" spans="1:3" x14ac:dyDescent="0.25">
      <c r="A256" s="12">
        <v>76393</v>
      </c>
      <c r="B256" s="12" t="s">
        <v>61</v>
      </c>
      <c r="C256" t="s">
        <v>528</v>
      </c>
    </row>
    <row r="257" spans="1:3" x14ac:dyDescent="0.25">
      <c r="A257" s="12">
        <v>76666</v>
      </c>
      <c r="B257" s="12" t="s">
        <v>529</v>
      </c>
      <c r="C257" t="s">
        <v>530</v>
      </c>
    </row>
    <row r="258" spans="1:3" x14ac:dyDescent="0.25">
      <c r="A258" s="12">
        <v>76815</v>
      </c>
      <c r="B258" s="12" t="s">
        <v>531</v>
      </c>
      <c r="C258" t="s">
        <v>532</v>
      </c>
    </row>
    <row r="259" spans="1:3" x14ac:dyDescent="0.25">
      <c r="A259" s="12">
        <v>76863</v>
      </c>
      <c r="B259" s="12" t="s">
        <v>533</v>
      </c>
      <c r="C259" t="s">
        <v>534</v>
      </c>
    </row>
    <row r="260" spans="1:3" x14ac:dyDescent="0.25">
      <c r="A260" s="12">
        <v>77100</v>
      </c>
      <c r="B260" s="12" t="s">
        <v>535</v>
      </c>
      <c r="C260" t="s">
        <v>536</v>
      </c>
    </row>
    <row r="261" spans="1:3" x14ac:dyDescent="0.25">
      <c r="A261" s="12">
        <v>77140</v>
      </c>
      <c r="B261" s="12" t="s">
        <v>36</v>
      </c>
      <c r="C261" t="s">
        <v>537</v>
      </c>
    </row>
    <row r="262" spans="1:3" x14ac:dyDescent="0.25">
      <c r="A262" s="12">
        <v>77168</v>
      </c>
      <c r="B262" s="12" t="s">
        <v>63</v>
      </c>
      <c r="C262" t="s">
        <v>538</v>
      </c>
    </row>
    <row r="263" spans="1:3" x14ac:dyDescent="0.25">
      <c r="A263" s="12">
        <v>77393</v>
      </c>
      <c r="B263" s="12" t="s">
        <v>539</v>
      </c>
      <c r="C263" t="s">
        <v>540</v>
      </c>
    </row>
    <row r="264" spans="1:3" x14ac:dyDescent="0.25">
      <c r="A264" s="12">
        <v>77694</v>
      </c>
      <c r="B264" s="12" t="s">
        <v>541</v>
      </c>
      <c r="C264" t="s">
        <v>542</v>
      </c>
    </row>
    <row r="265" spans="1:3" x14ac:dyDescent="0.25">
      <c r="A265" s="12">
        <v>77840</v>
      </c>
      <c r="B265" s="12" t="s">
        <v>62</v>
      </c>
      <c r="C265" t="s">
        <v>543</v>
      </c>
    </row>
    <row r="266" spans="1:3" x14ac:dyDescent="0.25">
      <c r="A266" s="12">
        <v>78130</v>
      </c>
      <c r="B266" s="12" t="s">
        <v>64</v>
      </c>
      <c r="C266" t="s">
        <v>544</v>
      </c>
    </row>
    <row r="267" spans="1:3" x14ac:dyDescent="0.25">
      <c r="A267" s="12">
        <v>78150</v>
      </c>
      <c r="B267" s="12" t="s">
        <v>65</v>
      </c>
      <c r="C267" t="s">
        <v>545</v>
      </c>
    </row>
    <row r="268" spans="1:3" x14ac:dyDescent="0.25">
      <c r="A268" s="12">
        <v>78328</v>
      </c>
      <c r="B268" s="12" t="s">
        <v>546</v>
      </c>
      <c r="C268" t="s">
        <v>547</v>
      </c>
    </row>
    <row r="269" spans="1:3" x14ac:dyDescent="0.25">
      <c r="A269" s="12">
        <v>78331</v>
      </c>
      <c r="B269" s="12" t="s">
        <v>66</v>
      </c>
      <c r="C269" t="s">
        <v>548</v>
      </c>
    </row>
    <row r="270" spans="1:3" x14ac:dyDescent="0.25">
      <c r="A270" s="12">
        <v>78430</v>
      </c>
      <c r="B270" s="12" t="s">
        <v>549</v>
      </c>
      <c r="C270" t="s">
        <v>550</v>
      </c>
    </row>
    <row r="271" spans="1:3" x14ac:dyDescent="0.25">
      <c r="A271" s="12">
        <v>78513</v>
      </c>
      <c r="B271" s="12" t="s">
        <v>551</v>
      </c>
      <c r="C271" t="s">
        <v>552</v>
      </c>
    </row>
    <row r="272" spans="1:3" x14ac:dyDescent="0.25">
      <c r="A272" s="12">
        <v>78730</v>
      </c>
      <c r="B272" s="12" t="s">
        <v>553</v>
      </c>
      <c r="C272" t="s">
        <v>554</v>
      </c>
    </row>
    <row r="273" spans="1:3" x14ac:dyDescent="0.25">
      <c r="A273" s="12">
        <v>78857</v>
      </c>
      <c r="B273" s="12" t="s">
        <v>555</v>
      </c>
      <c r="C273" t="s">
        <v>556</v>
      </c>
    </row>
    <row r="274" spans="1:3" x14ac:dyDescent="0.25">
      <c r="A274" s="12">
        <v>79831</v>
      </c>
      <c r="B274" s="12" t="s">
        <v>557</v>
      </c>
      <c r="C274" t="s">
        <v>558</v>
      </c>
    </row>
    <row r="275" spans="1:3" x14ac:dyDescent="0.25">
      <c r="A275" s="12">
        <v>79869</v>
      </c>
      <c r="B275" s="12" t="s">
        <v>559</v>
      </c>
      <c r="C275" t="s">
        <v>560</v>
      </c>
    </row>
    <row r="276" spans="1:3" x14ac:dyDescent="0.25">
      <c r="A276" s="12">
        <v>80638</v>
      </c>
      <c r="B276" s="12" t="s">
        <v>561</v>
      </c>
      <c r="C276" t="s">
        <v>562</v>
      </c>
    </row>
    <row r="277" spans="1:3" x14ac:dyDescent="0.25">
      <c r="A277" s="12">
        <v>80645</v>
      </c>
      <c r="B277" s="12" t="s">
        <v>563</v>
      </c>
      <c r="C277" t="s">
        <v>564</v>
      </c>
    </row>
    <row r="278" spans="1:3" x14ac:dyDescent="0.25">
      <c r="A278" s="12">
        <v>80935</v>
      </c>
      <c r="B278" s="12" t="s">
        <v>68</v>
      </c>
      <c r="C278" t="s">
        <v>565</v>
      </c>
    </row>
    <row r="279" spans="1:3" x14ac:dyDescent="0.25">
      <c r="A279" s="12">
        <v>80973</v>
      </c>
      <c r="B279" s="12" t="s">
        <v>566</v>
      </c>
      <c r="C279" t="s">
        <v>567</v>
      </c>
    </row>
    <row r="280" spans="1:3" x14ac:dyDescent="0.25">
      <c r="A280" s="12">
        <v>80978</v>
      </c>
      <c r="B280" s="12" t="s">
        <v>568</v>
      </c>
      <c r="C280" t="s">
        <v>569</v>
      </c>
    </row>
    <row r="281" spans="1:3" x14ac:dyDescent="0.25">
      <c r="A281" s="12">
        <v>81525</v>
      </c>
      <c r="B281" s="12" t="s">
        <v>570</v>
      </c>
      <c r="C281" t="s">
        <v>571</v>
      </c>
    </row>
    <row r="282" spans="1:3" x14ac:dyDescent="0.25">
      <c r="A282" s="12">
        <v>81530</v>
      </c>
      <c r="B282" s="12" t="s">
        <v>572</v>
      </c>
      <c r="C282" t="s">
        <v>573</v>
      </c>
    </row>
    <row r="283" spans="1:3" x14ac:dyDescent="0.25">
      <c r="A283" s="12">
        <v>82145</v>
      </c>
      <c r="B283" s="12" t="s">
        <v>804</v>
      </c>
      <c r="C283" t="s">
        <v>805</v>
      </c>
    </row>
    <row r="284" spans="1:3" x14ac:dyDescent="0.25">
      <c r="A284" s="12">
        <v>82316</v>
      </c>
      <c r="B284" s="12" t="s">
        <v>574</v>
      </c>
      <c r="C284" t="s">
        <v>575</v>
      </c>
    </row>
    <row r="285" spans="1:3" x14ac:dyDescent="0.25">
      <c r="A285" s="12">
        <v>82449</v>
      </c>
      <c r="B285" s="12" t="s">
        <v>576</v>
      </c>
      <c r="C285" t="s">
        <v>577</v>
      </c>
    </row>
    <row r="286" spans="1:3" x14ac:dyDescent="0.25">
      <c r="A286" s="12">
        <v>82853</v>
      </c>
      <c r="B286" s="12" t="s">
        <v>578</v>
      </c>
      <c r="C286" t="s">
        <v>579</v>
      </c>
    </row>
    <row r="287" spans="1:3" x14ac:dyDescent="0.25">
      <c r="A287" s="12">
        <v>83992</v>
      </c>
      <c r="B287" s="12" t="s">
        <v>580</v>
      </c>
      <c r="C287" t="s">
        <v>581</v>
      </c>
    </row>
    <row r="288" spans="1:3" x14ac:dyDescent="0.25">
      <c r="A288" s="12">
        <v>84408</v>
      </c>
      <c r="B288" s="12" t="s">
        <v>33</v>
      </c>
      <c r="C288" t="s">
        <v>582</v>
      </c>
    </row>
    <row r="289" spans="1:3" x14ac:dyDescent="0.25">
      <c r="A289" s="12">
        <v>84484</v>
      </c>
      <c r="B289" s="12" t="s">
        <v>583</v>
      </c>
      <c r="C289" t="s">
        <v>584</v>
      </c>
    </row>
    <row r="290" spans="1:3" x14ac:dyDescent="0.25">
      <c r="A290" s="12">
        <v>85133</v>
      </c>
      <c r="B290" s="12" t="s">
        <v>806</v>
      </c>
      <c r="C290" t="s">
        <v>807</v>
      </c>
    </row>
    <row r="291" spans="1:3" x14ac:dyDescent="0.25">
      <c r="A291" s="12">
        <v>86633</v>
      </c>
      <c r="B291" s="12" t="s">
        <v>585</v>
      </c>
      <c r="C291" t="s">
        <v>586</v>
      </c>
    </row>
    <row r="292" spans="1:3" x14ac:dyDescent="0.25">
      <c r="A292" s="12">
        <v>87002</v>
      </c>
      <c r="B292" s="12" t="s">
        <v>587</v>
      </c>
      <c r="C292" t="s">
        <v>588</v>
      </c>
    </row>
    <row r="293" spans="1:3" x14ac:dyDescent="0.25">
      <c r="A293" s="12">
        <v>89448</v>
      </c>
      <c r="B293" s="12" t="s">
        <v>589</v>
      </c>
      <c r="C293" t="s">
        <v>590</v>
      </c>
    </row>
    <row r="294" spans="1:3" x14ac:dyDescent="0.25">
      <c r="A294" s="12">
        <v>90818</v>
      </c>
      <c r="B294" s="12" t="s">
        <v>591</v>
      </c>
      <c r="C294" t="s">
        <v>592</v>
      </c>
    </row>
    <row r="295" spans="1:3" x14ac:dyDescent="0.25">
      <c r="A295" s="12">
        <v>101544</v>
      </c>
      <c r="B295" s="12" t="s">
        <v>593</v>
      </c>
      <c r="C295" t="s">
        <v>594</v>
      </c>
    </row>
    <row r="296" spans="1:3" x14ac:dyDescent="0.25">
      <c r="A296" s="12">
        <v>102089</v>
      </c>
      <c r="B296" s="12" t="s">
        <v>595</v>
      </c>
      <c r="C296" t="s">
        <v>596</v>
      </c>
    </row>
    <row r="297" spans="1:3" x14ac:dyDescent="0.25">
      <c r="A297" s="12">
        <v>102100</v>
      </c>
      <c r="B297" s="12" t="s">
        <v>597</v>
      </c>
      <c r="C297" t="s">
        <v>598</v>
      </c>
    </row>
    <row r="298" spans="1:3" x14ac:dyDescent="0.25">
      <c r="A298" s="12">
        <v>108289</v>
      </c>
      <c r="B298" s="12" t="s">
        <v>599</v>
      </c>
      <c r="C298" t="s">
        <v>600</v>
      </c>
    </row>
    <row r="299" spans="1:3" x14ac:dyDescent="0.25">
      <c r="A299" s="12">
        <v>111353</v>
      </c>
      <c r="B299" s="12" t="s">
        <v>601</v>
      </c>
      <c r="C299" t="s">
        <v>602</v>
      </c>
    </row>
    <row r="300" spans="1:3" x14ac:dyDescent="0.25">
      <c r="A300" s="12">
        <v>172475</v>
      </c>
      <c r="B300" s="12" t="s">
        <v>603</v>
      </c>
      <c r="C300" t="s">
        <v>604</v>
      </c>
    </row>
    <row r="301" spans="1:3" x14ac:dyDescent="0.25">
      <c r="A301" s="12">
        <v>173360</v>
      </c>
      <c r="B301" s="12" t="s">
        <v>605</v>
      </c>
      <c r="C301" t="s">
        <v>606</v>
      </c>
    </row>
    <row r="302" spans="1:3" x14ac:dyDescent="0.25">
      <c r="A302" s="12">
        <v>173367</v>
      </c>
      <c r="B302" s="12" t="s">
        <v>607</v>
      </c>
      <c r="C302" t="s">
        <v>608</v>
      </c>
    </row>
    <row r="303" spans="1:3" x14ac:dyDescent="0.25">
      <c r="A303" s="12">
        <v>176083</v>
      </c>
      <c r="B303" s="12" t="s">
        <v>808</v>
      </c>
      <c r="C303" t="s">
        <v>809</v>
      </c>
    </row>
    <row r="304" spans="1:3" x14ac:dyDescent="0.25">
      <c r="A304" s="12">
        <v>196593</v>
      </c>
      <c r="B304" s="12" t="s">
        <v>609</v>
      </c>
      <c r="C304" t="s">
        <v>610</v>
      </c>
    </row>
    <row r="305" spans="1:3" x14ac:dyDescent="0.25">
      <c r="A305" s="12">
        <v>197429</v>
      </c>
      <c r="B305" s="12" t="s">
        <v>611</v>
      </c>
      <c r="C305" t="s">
        <v>612</v>
      </c>
    </row>
    <row r="306" spans="1:3" x14ac:dyDescent="0.25">
      <c r="A306" s="12">
        <v>200232</v>
      </c>
      <c r="B306" s="12" t="s">
        <v>613</v>
      </c>
      <c r="C306" t="s">
        <v>614</v>
      </c>
    </row>
    <row r="307" spans="1:3" x14ac:dyDescent="0.25">
      <c r="A307" s="12">
        <v>200233</v>
      </c>
      <c r="B307" s="12" t="s">
        <v>615</v>
      </c>
      <c r="C307" t="s">
        <v>616</v>
      </c>
    </row>
    <row r="308" spans="1:3" x14ac:dyDescent="0.25">
      <c r="A308" s="12">
        <v>221381</v>
      </c>
      <c r="B308" s="12" t="s">
        <v>617</v>
      </c>
      <c r="C308" t="s">
        <v>618</v>
      </c>
    </row>
    <row r="309" spans="1:3" x14ac:dyDescent="0.25">
      <c r="A309" s="12">
        <v>230935</v>
      </c>
      <c r="B309" s="12" t="s">
        <v>824</v>
      </c>
      <c r="C309" t="s">
        <v>825</v>
      </c>
    </row>
    <row r="310" spans="1:3" x14ac:dyDescent="0.25">
      <c r="A310" s="12">
        <v>236854</v>
      </c>
      <c r="B310" s="12" t="s">
        <v>619</v>
      </c>
      <c r="C310" t="s">
        <v>620</v>
      </c>
    </row>
    <row r="311" spans="1:3" x14ac:dyDescent="0.25">
      <c r="A311" s="12">
        <v>256591</v>
      </c>
      <c r="B311" s="12" t="s">
        <v>621</v>
      </c>
      <c r="C311" t="s">
        <v>622</v>
      </c>
    </row>
    <row r="312" spans="1:3" x14ac:dyDescent="0.25">
      <c r="A312" s="12">
        <v>293487</v>
      </c>
      <c r="B312" s="12" t="s">
        <v>623</v>
      </c>
      <c r="C312" t="s">
        <v>624</v>
      </c>
    </row>
    <row r="313" spans="1:3" x14ac:dyDescent="0.25">
      <c r="A313" s="12">
        <v>295090</v>
      </c>
      <c r="B313" s="12" t="s">
        <v>14</v>
      </c>
      <c r="C313" t="s">
        <v>625</v>
      </c>
    </row>
    <row r="314" spans="1:3" x14ac:dyDescent="0.25">
      <c r="A314" s="12">
        <v>299006</v>
      </c>
      <c r="B314" s="12" t="s">
        <v>626</v>
      </c>
      <c r="C314" t="s">
        <v>627</v>
      </c>
    </row>
    <row r="315" spans="1:3" x14ac:dyDescent="0.25">
      <c r="A315" s="12">
        <v>301760</v>
      </c>
      <c r="B315" s="12" t="s">
        <v>628</v>
      </c>
      <c r="C315" t="s">
        <v>629</v>
      </c>
    </row>
    <row r="316" spans="1:3" x14ac:dyDescent="0.25">
      <c r="A316" s="12">
        <v>313538</v>
      </c>
      <c r="B316" s="12" t="s">
        <v>630</v>
      </c>
      <c r="C316" t="s">
        <v>631</v>
      </c>
    </row>
    <row r="317" spans="1:3" x14ac:dyDescent="0.25">
      <c r="A317" s="12">
        <v>324443</v>
      </c>
      <c r="B317" s="12" t="s">
        <v>632</v>
      </c>
      <c r="C317" t="s">
        <v>815</v>
      </c>
    </row>
    <row r="318" spans="1:3" x14ac:dyDescent="0.25">
      <c r="A318" s="12">
        <v>334249</v>
      </c>
      <c r="B318" s="12" t="s">
        <v>633</v>
      </c>
      <c r="C318" t="s">
        <v>634</v>
      </c>
    </row>
    <row r="319" spans="1:3" x14ac:dyDescent="0.25">
      <c r="A319" s="12">
        <v>334738</v>
      </c>
      <c r="B319" s="12" t="s">
        <v>826</v>
      </c>
      <c r="C319" t="s">
        <v>827</v>
      </c>
    </row>
    <row r="320" spans="1:3" x14ac:dyDescent="0.25">
      <c r="A320" s="12">
        <v>341239</v>
      </c>
      <c r="B320" s="12" t="s">
        <v>635</v>
      </c>
      <c r="C320" t="s">
        <v>636</v>
      </c>
    </row>
    <row r="321" spans="1:3" x14ac:dyDescent="0.25">
      <c r="A321" s="12">
        <v>341635</v>
      </c>
      <c r="B321" s="12" t="s">
        <v>637</v>
      </c>
      <c r="C321" t="s">
        <v>638</v>
      </c>
    </row>
    <row r="322" spans="1:3" x14ac:dyDescent="0.25">
      <c r="A322" s="12">
        <v>347787</v>
      </c>
      <c r="B322" s="12" t="s">
        <v>639</v>
      </c>
      <c r="C322" t="s">
        <v>640</v>
      </c>
    </row>
    <row r="323" spans="1:3" x14ac:dyDescent="0.25">
      <c r="A323" s="12">
        <v>348149</v>
      </c>
      <c r="B323" s="12" t="s">
        <v>641</v>
      </c>
      <c r="C323" t="s">
        <v>642</v>
      </c>
    </row>
    <row r="324" spans="1:3" x14ac:dyDescent="0.25">
      <c r="A324" s="12">
        <v>349894</v>
      </c>
      <c r="B324" s="12" t="s">
        <v>643</v>
      </c>
      <c r="C324" t="s">
        <v>644</v>
      </c>
    </row>
    <row r="325" spans="1:3" x14ac:dyDescent="0.25">
      <c r="A325" s="12">
        <v>361812</v>
      </c>
      <c r="B325" s="12" t="s">
        <v>645</v>
      </c>
      <c r="C325" t="s">
        <v>646</v>
      </c>
    </row>
    <row r="326" spans="1:3" x14ac:dyDescent="0.25">
      <c r="A326" s="12">
        <v>367667</v>
      </c>
      <c r="B326" s="12" t="s">
        <v>647</v>
      </c>
      <c r="C326" t="s">
        <v>648</v>
      </c>
    </row>
    <row r="327" spans="1:3" x14ac:dyDescent="0.25">
      <c r="A327" s="12">
        <v>368238</v>
      </c>
      <c r="B327" s="12" t="s">
        <v>649</v>
      </c>
      <c r="C327" t="s">
        <v>650</v>
      </c>
    </row>
    <row r="328" spans="1:3" x14ac:dyDescent="0.25">
      <c r="A328" s="12">
        <v>10906094</v>
      </c>
      <c r="B328" s="12" t="s">
        <v>651</v>
      </c>
      <c r="C328" t="s">
        <v>652</v>
      </c>
    </row>
    <row r="329" spans="1:3" x14ac:dyDescent="0.25">
      <c r="A329" s="12">
        <v>10911889</v>
      </c>
      <c r="B329" s="12" t="s">
        <v>653</v>
      </c>
      <c r="C329" t="s">
        <v>654</v>
      </c>
    </row>
    <row r="330" spans="1:3" x14ac:dyDescent="0.25">
      <c r="A330" s="12">
        <v>10912502</v>
      </c>
      <c r="B330" s="12" t="s">
        <v>655</v>
      </c>
      <c r="C330" t="s">
        <v>656</v>
      </c>
    </row>
    <row r="331" spans="1:3" x14ac:dyDescent="0.25">
      <c r="A331" s="12">
        <v>10922049</v>
      </c>
      <c r="B331" s="12" t="s">
        <v>67</v>
      </c>
      <c r="C331" t="s">
        <v>657</v>
      </c>
    </row>
    <row r="332" spans="1:3" x14ac:dyDescent="0.25">
      <c r="A332" s="12">
        <v>10925285</v>
      </c>
      <c r="B332" s="12" t="s">
        <v>658</v>
      </c>
      <c r="C332" t="s">
        <v>659</v>
      </c>
    </row>
    <row r="333" spans="1:3" x14ac:dyDescent="0.25">
      <c r="A333" s="12">
        <v>10929280</v>
      </c>
      <c r="B333" s="12" t="s">
        <v>660</v>
      </c>
      <c r="C333" t="s">
        <v>661</v>
      </c>
    </row>
    <row r="334" spans="1:3" x14ac:dyDescent="0.25">
      <c r="A334" s="12">
        <v>10933004</v>
      </c>
      <c r="B334" s="12" t="s">
        <v>662</v>
      </c>
      <c r="C334" t="s">
        <v>810</v>
      </c>
    </row>
    <row r="335" spans="1:3" x14ac:dyDescent="0.25">
      <c r="A335" s="12">
        <v>10960289</v>
      </c>
      <c r="B335" s="12" t="s">
        <v>663</v>
      </c>
      <c r="C335" t="s">
        <v>664</v>
      </c>
    </row>
    <row r="336" spans="1:3" x14ac:dyDescent="0.25">
      <c r="A336" s="12">
        <v>10964461</v>
      </c>
      <c r="B336" s="12" t="s">
        <v>665</v>
      </c>
      <c r="C336" t="s">
        <v>666</v>
      </c>
    </row>
    <row r="337" spans="1:3" x14ac:dyDescent="0.25">
      <c r="A337" s="12">
        <v>10964695</v>
      </c>
      <c r="B337" s="12" t="s">
        <v>667</v>
      </c>
      <c r="C337" t="s">
        <v>668</v>
      </c>
    </row>
    <row r="338" spans="1:3" x14ac:dyDescent="0.25">
      <c r="A338" s="12">
        <v>10964953</v>
      </c>
      <c r="B338" s="12" t="s">
        <v>669</v>
      </c>
      <c r="C338" t="s">
        <v>670</v>
      </c>
    </row>
    <row r="339" spans="1:3" x14ac:dyDescent="0.25">
      <c r="A339" s="12">
        <v>10965897</v>
      </c>
      <c r="B339" s="12" t="s">
        <v>671</v>
      </c>
      <c r="C339" t="s">
        <v>672</v>
      </c>
    </row>
    <row r="340" spans="1:3" x14ac:dyDescent="0.25">
      <c r="A340" s="12">
        <v>10967710</v>
      </c>
      <c r="B340" s="12" t="s">
        <v>828</v>
      </c>
      <c r="C340" t="s">
        <v>829</v>
      </c>
    </row>
    <row r="341" spans="1:3" x14ac:dyDescent="0.25">
      <c r="A341" s="12">
        <v>10973512</v>
      </c>
      <c r="B341" s="12" t="s">
        <v>673</v>
      </c>
      <c r="C341" t="s">
        <v>674</v>
      </c>
    </row>
    <row r="342" spans="1:3" x14ac:dyDescent="0.25">
      <c r="A342" s="12">
        <v>10986008</v>
      </c>
      <c r="B342" s="12" t="s">
        <v>675</v>
      </c>
      <c r="C342" t="s">
        <v>676</v>
      </c>
    </row>
    <row r="343" spans="1:3" x14ac:dyDescent="0.25">
      <c r="A343" s="12">
        <v>10986749</v>
      </c>
      <c r="B343" s="12" t="s">
        <v>42</v>
      </c>
      <c r="C343" t="s">
        <v>677</v>
      </c>
    </row>
    <row r="344" spans="1:3" x14ac:dyDescent="0.25">
      <c r="A344" s="12">
        <v>10989137</v>
      </c>
      <c r="B344" s="12" t="s">
        <v>678</v>
      </c>
      <c r="C344" t="s">
        <v>679</v>
      </c>
    </row>
    <row r="345" spans="1:3" x14ac:dyDescent="0.25">
      <c r="A345" s="12">
        <v>10999309</v>
      </c>
      <c r="B345" s="12" t="s">
        <v>680</v>
      </c>
      <c r="C345" t="s">
        <v>681</v>
      </c>
    </row>
    <row r="346" spans="1:3" x14ac:dyDescent="0.25">
      <c r="A346" s="12">
        <v>11003173</v>
      </c>
      <c r="B346" s="12" t="s">
        <v>682</v>
      </c>
      <c r="C346" t="s">
        <v>683</v>
      </c>
    </row>
    <row r="347" spans="1:3" x14ac:dyDescent="0.25">
      <c r="A347" s="12">
        <v>11003221</v>
      </c>
      <c r="B347" s="12" t="s">
        <v>684</v>
      </c>
      <c r="C347" t="s">
        <v>685</v>
      </c>
    </row>
    <row r="348" spans="1:3" x14ac:dyDescent="0.25">
      <c r="A348" s="12">
        <v>11005116</v>
      </c>
      <c r="B348" s="12" t="s">
        <v>686</v>
      </c>
      <c r="C348" t="s">
        <v>687</v>
      </c>
    </row>
    <row r="349" spans="1:3" x14ac:dyDescent="0.25">
      <c r="A349" s="12">
        <v>11005828</v>
      </c>
      <c r="B349" s="12" t="s">
        <v>688</v>
      </c>
      <c r="C349" t="s">
        <v>689</v>
      </c>
    </row>
    <row r="350" spans="1:3" x14ac:dyDescent="0.25">
      <c r="A350" s="12">
        <v>11007121</v>
      </c>
      <c r="B350" s="12" t="s">
        <v>830</v>
      </c>
      <c r="C350" t="s">
        <v>831</v>
      </c>
    </row>
    <row r="351" spans="1:3" x14ac:dyDescent="0.25">
      <c r="A351" s="12">
        <v>11007137</v>
      </c>
      <c r="B351" s="12" t="s">
        <v>690</v>
      </c>
      <c r="C351" t="s">
        <v>691</v>
      </c>
    </row>
    <row r="352" spans="1:3" x14ac:dyDescent="0.25">
      <c r="A352" s="12">
        <v>11009782</v>
      </c>
      <c r="B352" s="12" t="s">
        <v>26</v>
      </c>
      <c r="C352" t="s">
        <v>692</v>
      </c>
    </row>
    <row r="353" spans="1:3" x14ac:dyDescent="0.25">
      <c r="A353" s="12">
        <v>11013522</v>
      </c>
      <c r="B353" s="12" t="s">
        <v>69</v>
      </c>
      <c r="C353" t="s">
        <v>693</v>
      </c>
    </row>
    <row r="354" spans="1:3" x14ac:dyDescent="0.25">
      <c r="A354" s="12">
        <v>11016729</v>
      </c>
      <c r="B354" s="12" t="s">
        <v>694</v>
      </c>
      <c r="C354" t="s">
        <v>695</v>
      </c>
    </row>
    <row r="355" spans="1:3" x14ac:dyDescent="0.25">
      <c r="A355" s="12">
        <v>11022055</v>
      </c>
      <c r="B355" s="12" t="s">
        <v>696</v>
      </c>
      <c r="C355" t="s">
        <v>697</v>
      </c>
    </row>
    <row r="356" spans="1:3" x14ac:dyDescent="0.25">
      <c r="A356" s="12">
        <v>11022862</v>
      </c>
      <c r="B356" s="12" t="s">
        <v>698</v>
      </c>
      <c r="C356" t="s">
        <v>699</v>
      </c>
    </row>
    <row r="357" spans="1:3" x14ac:dyDescent="0.25">
      <c r="A357" s="12">
        <v>11023372</v>
      </c>
      <c r="B357" s="12" t="s">
        <v>700</v>
      </c>
      <c r="C357" t="s">
        <v>701</v>
      </c>
    </row>
    <row r="358" spans="1:3" x14ac:dyDescent="0.25">
      <c r="A358" s="12">
        <v>11026293</v>
      </c>
      <c r="B358" s="12" t="s">
        <v>702</v>
      </c>
      <c r="C358" t="s">
        <v>703</v>
      </c>
    </row>
    <row r="359" spans="1:3" x14ac:dyDescent="0.25">
      <c r="A359" s="12">
        <v>11031505</v>
      </c>
      <c r="B359" s="12" t="s">
        <v>704</v>
      </c>
      <c r="C359" t="s">
        <v>705</v>
      </c>
    </row>
    <row r="360" spans="1:3" x14ac:dyDescent="0.25">
      <c r="A360" s="12">
        <v>11036288</v>
      </c>
      <c r="B360" s="12" t="s">
        <v>706</v>
      </c>
      <c r="C360" t="s">
        <v>707</v>
      </c>
    </row>
    <row r="361" spans="1:3" x14ac:dyDescent="0.25">
      <c r="A361" s="12">
        <v>11062963</v>
      </c>
      <c r="B361" s="12" t="s">
        <v>708</v>
      </c>
      <c r="C361" t="s">
        <v>709</v>
      </c>
    </row>
    <row r="362" spans="1:3" x14ac:dyDescent="0.25">
      <c r="A362" s="12">
        <v>11074333</v>
      </c>
      <c r="B362" s="12" t="s">
        <v>710</v>
      </c>
      <c r="C362" t="s">
        <v>711</v>
      </c>
    </row>
    <row r="363" spans="1:3" x14ac:dyDescent="0.25">
      <c r="A363" s="12">
        <v>11078466</v>
      </c>
      <c r="B363" s="12" t="s">
        <v>712</v>
      </c>
      <c r="C363" t="s">
        <v>713</v>
      </c>
    </row>
    <row r="364" spans="1:3" x14ac:dyDescent="0.25">
      <c r="A364" s="12">
        <v>11078928</v>
      </c>
      <c r="B364" s="12" t="s">
        <v>714</v>
      </c>
      <c r="C364" t="s">
        <v>715</v>
      </c>
    </row>
    <row r="365" spans="1:3" x14ac:dyDescent="0.25">
      <c r="A365" s="12">
        <v>11108460</v>
      </c>
      <c r="B365" s="12" t="s">
        <v>716</v>
      </c>
      <c r="C365" t="s">
        <v>788</v>
      </c>
    </row>
    <row r="366" spans="1:3" x14ac:dyDescent="0.25">
      <c r="A366" s="12">
        <v>11111190</v>
      </c>
      <c r="B366" s="12" t="s">
        <v>3</v>
      </c>
      <c r="C366" t="s">
        <v>717</v>
      </c>
    </row>
    <row r="367" spans="1:3" x14ac:dyDescent="0.25">
      <c r="A367" s="12">
        <v>11111386</v>
      </c>
      <c r="B367" s="12" t="s">
        <v>718</v>
      </c>
      <c r="C367" t="s">
        <v>719</v>
      </c>
    </row>
    <row r="368" spans="1:3" x14ac:dyDescent="0.25">
      <c r="A368" s="12">
        <v>11112206</v>
      </c>
      <c r="B368" s="12" t="s">
        <v>4</v>
      </c>
      <c r="C368" t="s">
        <v>720</v>
      </c>
    </row>
    <row r="369" spans="1:3" x14ac:dyDescent="0.25">
      <c r="A369" s="12">
        <v>11128902</v>
      </c>
      <c r="B369" s="12" t="s">
        <v>721</v>
      </c>
      <c r="C369" t="s">
        <v>722</v>
      </c>
    </row>
    <row r="370" spans="1:3" x14ac:dyDescent="0.25">
      <c r="A370" s="12">
        <v>11131175</v>
      </c>
      <c r="B370" s="12" t="s">
        <v>723</v>
      </c>
      <c r="C370" t="s">
        <v>724</v>
      </c>
    </row>
    <row r="371" spans="1:3" x14ac:dyDescent="0.25">
      <c r="A371" s="12">
        <v>11132438</v>
      </c>
      <c r="B371" s="12" t="s">
        <v>725</v>
      </c>
      <c r="C371" t="s">
        <v>726</v>
      </c>
    </row>
    <row r="372" spans="1:3" x14ac:dyDescent="0.25">
      <c r="A372" s="12">
        <v>11133542</v>
      </c>
      <c r="B372" s="12" t="s">
        <v>727</v>
      </c>
      <c r="C372" t="s">
        <v>728</v>
      </c>
    </row>
    <row r="373" spans="1:3" x14ac:dyDescent="0.25">
      <c r="A373" s="12">
        <v>11136514</v>
      </c>
      <c r="B373" s="12" t="s">
        <v>729</v>
      </c>
      <c r="C373" t="s">
        <v>730</v>
      </c>
    </row>
    <row r="374" spans="1:3" x14ac:dyDescent="0.25">
      <c r="A374" s="12">
        <v>11136533</v>
      </c>
      <c r="B374" s="12" t="s">
        <v>731</v>
      </c>
      <c r="C374" t="s">
        <v>732</v>
      </c>
    </row>
    <row r="375" spans="1:3" x14ac:dyDescent="0.25">
      <c r="A375" s="12">
        <v>11137598</v>
      </c>
      <c r="B375" s="12" t="s">
        <v>733</v>
      </c>
      <c r="C375" t="s">
        <v>734</v>
      </c>
    </row>
    <row r="376" spans="1:3" x14ac:dyDescent="0.25">
      <c r="A376" s="12">
        <v>11137816</v>
      </c>
      <c r="B376" s="12" t="s">
        <v>735</v>
      </c>
      <c r="C376" t="s">
        <v>736</v>
      </c>
    </row>
    <row r="377" spans="1:3" x14ac:dyDescent="0.25">
      <c r="A377" s="12">
        <v>11138544</v>
      </c>
      <c r="B377" s="12" t="s">
        <v>737</v>
      </c>
      <c r="C377" t="s">
        <v>738</v>
      </c>
    </row>
    <row r="378" spans="1:3" x14ac:dyDescent="0.25">
      <c r="A378" s="12">
        <v>11139960</v>
      </c>
      <c r="B378" s="12" t="s">
        <v>739</v>
      </c>
      <c r="C378" t="s">
        <v>740</v>
      </c>
    </row>
    <row r="379" spans="1:3" x14ac:dyDescent="0.25">
      <c r="A379" s="12">
        <v>11140772</v>
      </c>
      <c r="B379" s="12" t="s">
        <v>741</v>
      </c>
      <c r="C379" t="s">
        <v>742</v>
      </c>
    </row>
    <row r="380" spans="1:3" x14ac:dyDescent="0.25">
      <c r="A380" s="12">
        <v>11141179</v>
      </c>
      <c r="B380" s="12" t="s">
        <v>816</v>
      </c>
      <c r="C380" t="s">
        <v>817</v>
      </c>
    </row>
    <row r="381" spans="1:3" x14ac:dyDescent="0.25">
      <c r="A381" s="12">
        <v>11142848</v>
      </c>
      <c r="B381" s="12" t="s">
        <v>743</v>
      </c>
      <c r="C381" t="s">
        <v>744</v>
      </c>
    </row>
    <row r="382" spans="1:3" x14ac:dyDescent="0.25">
      <c r="A382" s="12">
        <v>11146914</v>
      </c>
      <c r="B382" s="12" t="s">
        <v>745</v>
      </c>
      <c r="C382" t="s">
        <v>746</v>
      </c>
    </row>
    <row r="383" spans="1:3" x14ac:dyDescent="0.25">
      <c r="A383" s="12">
        <v>11148377</v>
      </c>
      <c r="B383" s="12" t="s">
        <v>747</v>
      </c>
      <c r="C383" t="s">
        <v>748</v>
      </c>
    </row>
    <row r="384" spans="1:3" x14ac:dyDescent="0.25">
      <c r="A384" s="12">
        <v>11149455</v>
      </c>
      <c r="B384" s="12" t="s">
        <v>749</v>
      </c>
      <c r="C384" t="s">
        <v>750</v>
      </c>
    </row>
    <row r="385" spans="1:3" x14ac:dyDescent="0.25">
      <c r="A385" s="12">
        <v>11149585</v>
      </c>
      <c r="B385" s="12" t="s">
        <v>751</v>
      </c>
      <c r="C385" t="s">
        <v>752</v>
      </c>
    </row>
    <row r="386" spans="1:3" x14ac:dyDescent="0.25">
      <c r="A386" s="12">
        <v>11149710</v>
      </c>
      <c r="B386" s="12" t="s">
        <v>753</v>
      </c>
      <c r="C386" t="s">
        <v>754</v>
      </c>
    </row>
    <row r="387" spans="1:3" x14ac:dyDescent="0.25">
      <c r="A387" s="12">
        <v>11150901</v>
      </c>
      <c r="B387" s="12" t="s">
        <v>755</v>
      </c>
      <c r="C387" t="s">
        <v>756</v>
      </c>
    </row>
    <row r="388" spans="1:3" x14ac:dyDescent="0.25">
      <c r="A388" s="12">
        <v>11151910</v>
      </c>
      <c r="B388" s="12" t="s">
        <v>789</v>
      </c>
      <c r="C388" t="s">
        <v>790</v>
      </c>
    </row>
    <row r="389" spans="1:3" x14ac:dyDescent="0.25">
      <c r="A389" s="12">
        <v>11152042</v>
      </c>
      <c r="B389" s="12" t="s">
        <v>757</v>
      </c>
      <c r="C389" t="s">
        <v>758</v>
      </c>
    </row>
    <row r="390" spans="1:3" x14ac:dyDescent="0.25">
      <c r="A390" s="12">
        <v>11152141</v>
      </c>
      <c r="B390" s="12" t="s">
        <v>759</v>
      </c>
      <c r="C390" t="s">
        <v>760</v>
      </c>
    </row>
    <row r="391" spans="1:3" x14ac:dyDescent="0.25">
      <c r="A391" s="12">
        <v>11156455</v>
      </c>
      <c r="B391" s="12" t="s">
        <v>761</v>
      </c>
      <c r="C391" t="s">
        <v>762</v>
      </c>
    </row>
    <row r="392" spans="1:3" x14ac:dyDescent="0.25">
      <c r="A392" s="12">
        <v>11156617</v>
      </c>
      <c r="B392" s="12" t="s">
        <v>763</v>
      </c>
      <c r="C392" t="s">
        <v>764</v>
      </c>
    </row>
    <row r="393" spans="1:3" x14ac:dyDescent="0.25">
      <c r="A393" s="12">
        <v>11157323</v>
      </c>
      <c r="B393" s="12" t="s">
        <v>765</v>
      </c>
      <c r="C393" t="s">
        <v>766</v>
      </c>
    </row>
    <row r="394" spans="1:3" x14ac:dyDescent="0.25">
      <c r="A394" s="12">
        <v>11158987</v>
      </c>
      <c r="B394" s="12" t="s">
        <v>767</v>
      </c>
      <c r="C394" t="s">
        <v>768</v>
      </c>
    </row>
    <row r="395" spans="1:3" x14ac:dyDescent="0.25">
      <c r="A395" s="12">
        <v>11159248</v>
      </c>
      <c r="B395" s="12" t="s">
        <v>769</v>
      </c>
      <c r="C395" t="s">
        <v>770</v>
      </c>
    </row>
    <row r="396" spans="1:3" x14ac:dyDescent="0.25">
      <c r="A396" s="12">
        <v>11159902</v>
      </c>
      <c r="B396" s="12" t="s">
        <v>771</v>
      </c>
      <c r="C396" t="s">
        <v>772</v>
      </c>
    </row>
    <row r="397" spans="1:3" x14ac:dyDescent="0.25">
      <c r="A397" s="12">
        <v>11160007</v>
      </c>
      <c r="B397" s="12" t="s">
        <v>25</v>
      </c>
      <c r="C397" t="s">
        <v>773</v>
      </c>
    </row>
    <row r="398" spans="1:3" x14ac:dyDescent="0.25">
      <c r="A398" s="12">
        <v>11160124</v>
      </c>
      <c r="B398" s="12" t="s">
        <v>774</v>
      </c>
      <c r="C398" t="s">
        <v>775</v>
      </c>
    </row>
    <row r="399" spans="1:3" x14ac:dyDescent="0.25">
      <c r="A399" s="12">
        <v>11160791</v>
      </c>
      <c r="B399" s="12" t="s">
        <v>776</v>
      </c>
      <c r="C399" t="s">
        <v>777</v>
      </c>
    </row>
    <row r="400" spans="1:3" x14ac:dyDescent="0.25">
      <c r="A400" s="12">
        <v>11160950</v>
      </c>
      <c r="B400" s="12" t="s">
        <v>778</v>
      </c>
      <c r="C400" t="s">
        <v>779</v>
      </c>
    </row>
    <row r="401" spans="1:3" x14ac:dyDescent="0.25">
      <c r="A401" s="12">
        <v>11162698</v>
      </c>
      <c r="B401" s="12" t="s">
        <v>780</v>
      </c>
      <c r="C401" t="s">
        <v>781</v>
      </c>
    </row>
    <row r="402" spans="1:3" x14ac:dyDescent="0.25">
      <c r="A402" s="12">
        <v>11167134</v>
      </c>
      <c r="B402" s="12" t="s">
        <v>791</v>
      </c>
      <c r="C402" t="s">
        <v>792</v>
      </c>
    </row>
    <row r="403" spans="1:3" x14ac:dyDescent="0.25">
      <c r="A403" s="12">
        <v>11167151</v>
      </c>
      <c r="B403" s="12" t="s">
        <v>793</v>
      </c>
      <c r="C403" t="s">
        <v>794</v>
      </c>
    </row>
    <row r="404" spans="1:3" x14ac:dyDescent="0.25">
      <c r="A404" s="12">
        <v>11167570</v>
      </c>
      <c r="B404" s="12" t="s">
        <v>811</v>
      </c>
      <c r="C404" t="s">
        <v>812</v>
      </c>
    </row>
    <row r="405" spans="1:3" x14ac:dyDescent="0.25">
      <c r="A405" s="12">
        <v>11171070</v>
      </c>
      <c r="B405" s="12" t="s">
        <v>818</v>
      </c>
      <c r="C405" t="s">
        <v>819</v>
      </c>
    </row>
    <row r="406" spans="1:3" x14ac:dyDescent="0.25">
      <c r="A406" s="12">
        <v>11172499</v>
      </c>
      <c r="B406" s="12" t="s">
        <v>832</v>
      </c>
      <c r="C406" t="s">
        <v>833</v>
      </c>
    </row>
    <row r="407" spans="1:3" x14ac:dyDescent="0.25">
      <c r="A407" s="12">
        <v>50311</v>
      </c>
      <c r="B407" s="12" t="s">
        <v>795</v>
      </c>
      <c r="C407" t="s">
        <v>796</v>
      </c>
    </row>
    <row r="408" spans="1:3" x14ac:dyDescent="0.25">
      <c r="A408" s="12">
        <v>11113</v>
      </c>
      <c r="B408" s="12" t="s">
        <v>797</v>
      </c>
      <c r="C408" t="s">
        <v>798</v>
      </c>
    </row>
    <row r="409" spans="1:3" x14ac:dyDescent="0.25">
      <c r="A409" s="12"/>
      <c r="B409" s="12"/>
      <c r="C409"/>
    </row>
    <row r="410" spans="1:3" x14ac:dyDescent="0.25">
      <c r="A410" s="12"/>
      <c r="B410" s="12"/>
      <c r="C410"/>
    </row>
    <row r="411" spans="1:3" x14ac:dyDescent="0.25">
      <c r="A411" s="12"/>
      <c r="B411" s="12"/>
      <c r="C411"/>
    </row>
    <row r="412" spans="1:3" x14ac:dyDescent="0.25">
      <c r="A412" s="12"/>
      <c r="B412" s="12"/>
      <c r="C412"/>
    </row>
    <row r="413" spans="1:3" x14ac:dyDescent="0.25">
      <c r="A413" s="12"/>
      <c r="B413" s="12"/>
      <c r="C413"/>
    </row>
    <row r="414" spans="1:3" x14ac:dyDescent="0.25">
      <c r="A414" s="12"/>
      <c r="B414" s="12"/>
      <c r="C414"/>
    </row>
    <row r="415" spans="1:3" x14ac:dyDescent="0.25">
      <c r="A415" s="12"/>
      <c r="B415" s="12"/>
      <c r="C415"/>
    </row>
    <row r="416" spans="1:3" x14ac:dyDescent="0.25">
      <c r="A416" s="12"/>
      <c r="B416" s="12"/>
      <c r="C416"/>
    </row>
    <row r="417" spans="1:3" x14ac:dyDescent="0.25">
      <c r="A417" s="12"/>
      <c r="B417" s="12"/>
      <c r="C417"/>
    </row>
    <row r="418" spans="1:3" x14ac:dyDescent="0.25">
      <c r="A418" s="12"/>
      <c r="B418" s="12"/>
      <c r="C418"/>
    </row>
    <row r="419" spans="1:3" x14ac:dyDescent="0.25">
      <c r="A419" s="12"/>
      <c r="B419" s="12"/>
      <c r="C419"/>
    </row>
    <row r="420" spans="1:3" x14ac:dyDescent="0.25">
      <c r="A420" s="12"/>
      <c r="B420" s="12"/>
      <c r="C420"/>
    </row>
    <row r="421" spans="1:3" x14ac:dyDescent="0.25">
      <c r="A421" s="12"/>
      <c r="B421" s="12"/>
      <c r="C421"/>
    </row>
    <row r="422" spans="1:3" x14ac:dyDescent="0.25">
      <c r="A422" s="12"/>
      <c r="B422" s="12"/>
      <c r="C422"/>
    </row>
    <row r="423" spans="1:3" x14ac:dyDescent="0.25">
      <c r="A423" s="12"/>
      <c r="B423" s="12"/>
      <c r="C423"/>
    </row>
    <row r="424" spans="1:3" x14ac:dyDescent="0.25">
      <c r="A424" s="12"/>
      <c r="B424" s="12"/>
      <c r="C424"/>
    </row>
    <row r="425" spans="1:3" x14ac:dyDescent="0.25">
      <c r="A425" s="12"/>
      <c r="B425" s="12"/>
      <c r="C425"/>
    </row>
    <row r="426" spans="1:3" x14ac:dyDescent="0.25">
      <c r="A426" s="12"/>
      <c r="B426" s="12"/>
      <c r="C426"/>
    </row>
    <row r="427" spans="1:3" x14ac:dyDescent="0.25">
      <c r="A427" s="12"/>
      <c r="B427" s="12"/>
      <c r="C427"/>
    </row>
    <row r="428" spans="1:3" x14ac:dyDescent="0.25">
      <c r="A428" s="12"/>
      <c r="B428" s="12"/>
      <c r="C428"/>
    </row>
    <row r="429" spans="1:3" x14ac:dyDescent="0.25">
      <c r="A429" s="12"/>
      <c r="B429" s="12"/>
      <c r="C429"/>
    </row>
    <row r="430" spans="1:3" x14ac:dyDescent="0.25">
      <c r="A430" s="12"/>
      <c r="B430" s="12"/>
      <c r="C430"/>
    </row>
    <row r="431" spans="1:3" x14ac:dyDescent="0.25">
      <c r="A431" s="12"/>
      <c r="B431" s="12"/>
      <c r="C431"/>
    </row>
    <row r="432" spans="1:3" x14ac:dyDescent="0.25">
      <c r="A432" s="12"/>
      <c r="B432" s="12"/>
      <c r="C432"/>
    </row>
    <row r="433" spans="1:3" x14ac:dyDescent="0.25">
      <c r="A433" s="12"/>
      <c r="B433" s="12"/>
      <c r="C433"/>
    </row>
    <row r="434" spans="1:3" x14ac:dyDescent="0.25">
      <c r="A434" s="12"/>
      <c r="B434" s="12"/>
      <c r="C434"/>
    </row>
    <row r="435" spans="1:3" x14ac:dyDescent="0.25">
      <c r="A435" s="12"/>
      <c r="B435" s="12"/>
      <c r="C435"/>
    </row>
    <row r="436" spans="1:3" x14ac:dyDescent="0.25">
      <c r="A436" s="12"/>
      <c r="B436" s="12"/>
      <c r="C436"/>
    </row>
    <row r="437" spans="1:3" x14ac:dyDescent="0.25">
      <c r="A437" s="12"/>
      <c r="B437" s="12"/>
      <c r="C437"/>
    </row>
    <row r="438" spans="1:3" x14ac:dyDescent="0.25">
      <c r="A438" s="12"/>
      <c r="B438" s="12"/>
      <c r="C438"/>
    </row>
    <row r="439" spans="1:3" x14ac:dyDescent="0.25">
      <c r="A439" s="12"/>
      <c r="B439" s="12"/>
      <c r="C439"/>
    </row>
    <row r="440" spans="1:3" x14ac:dyDescent="0.25">
      <c r="A440" s="12"/>
      <c r="B440" s="12"/>
      <c r="C440"/>
    </row>
    <row r="441" spans="1:3" x14ac:dyDescent="0.25">
      <c r="A441" s="12"/>
      <c r="B441" s="12"/>
      <c r="C441"/>
    </row>
    <row r="442" spans="1:3" x14ac:dyDescent="0.25">
      <c r="A442" s="12"/>
      <c r="B442" s="12"/>
      <c r="C442"/>
    </row>
    <row r="443" spans="1:3" x14ac:dyDescent="0.25">
      <c r="A443" s="12"/>
      <c r="B443" s="12"/>
      <c r="C443"/>
    </row>
    <row r="444" spans="1:3" x14ac:dyDescent="0.25">
      <c r="A444" s="12"/>
      <c r="B444" s="12"/>
      <c r="C444"/>
    </row>
    <row r="445" spans="1:3" x14ac:dyDescent="0.25">
      <c r="A445" s="12"/>
      <c r="B445" s="12"/>
      <c r="C445"/>
    </row>
    <row r="446" spans="1:3" x14ac:dyDescent="0.25">
      <c r="A446" s="12"/>
      <c r="B446" s="12"/>
      <c r="C446"/>
    </row>
    <row r="447" spans="1:3" x14ac:dyDescent="0.25">
      <c r="A447" s="12"/>
      <c r="B447" s="12"/>
      <c r="C447"/>
    </row>
    <row r="448" spans="1:3" x14ac:dyDescent="0.25">
      <c r="A448" s="12"/>
      <c r="B448" s="12"/>
      <c r="C448"/>
    </row>
    <row r="449" spans="1:3" x14ac:dyDescent="0.25">
      <c r="A449" s="12"/>
      <c r="B449" s="12"/>
      <c r="C449"/>
    </row>
    <row r="450" spans="1:3" x14ac:dyDescent="0.25">
      <c r="A450" s="12"/>
      <c r="B450" s="12"/>
      <c r="C450"/>
    </row>
    <row r="451" spans="1:3" x14ac:dyDescent="0.25">
      <c r="A451" s="12"/>
      <c r="B451" s="12"/>
      <c r="C451"/>
    </row>
    <row r="452" spans="1:3" x14ac:dyDescent="0.25">
      <c r="A452" s="12"/>
      <c r="B452" s="12"/>
      <c r="C452"/>
    </row>
    <row r="453" spans="1:3" x14ac:dyDescent="0.25">
      <c r="A453" s="12"/>
      <c r="B453" s="12"/>
      <c r="C453"/>
    </row>
    <row r="454" spans="1:3" x14ac:dyDescent="0.25">
      <c r="A454" s="12"/>
      <c r="B454" s="12"/>
      <c r="C454"/>
    </row>
    <row r="455" spans="1:3" x14ac:dyDescent="0.25">
      <c r="A455" s="12"/>
      <c r="B455" s="12"/>
      <c r="C455"/>
    </row>
    <row r="456" spans="1:3" x14ac:dyDescent="0.25">
      <c r="A456" s="12"/>
      <c r="B456" s="12"/>
      <c r="C456"/>
    </row>
    <row r="457" spans="1:3" x14ac:dyDescent="0.25">
      <c r="A457" s="12"/>
      <c r="B457" s="12"/>
      <c r="C457"/>
    </row>
    <row r="458" spans="1:3" x14ac:dyDescent="0.25">
      <c r="A458" s="12"/>
      <c r="B458" s="12"/>
      <c r="C458"/>
    </row>
    <row r="459" spans="1:3" x14ac:dyDescent="0.25">
      <c r="A459" s="12"/>
      <c r="B459" s="12"/>
      <c r="C459"/>
    </row>
    <row r="460" spans="1:3" x14ac:dyDescent="0.25">
      <c r="A460" s="12"/>
      <c r="B460" s="12"/>
      <c r="C460"/>
    </row>
    <row r="461" spans="1:3" x14ac:dyDescent="0.25">
      <c r="A461" s="12"/>
      <c r="B461" s="12"/>
      <c r="C461"/>
    </row>
    <row r="462" spans="1:3" x14ac:dyDescent="0.25">
      <c r="A462" s="12"/>
      <c r="B462" s="12"/>
      <c r="C462"/>
    </row>
    <row r="463" spans="1:3" x14ac:dyDescent="0.25">
      <c r="A463" s="12"/>
      <c r="B463" s="12"/>
      <c r="C463"/>
    </row>
    <row r="464" spans="1:3" x14ac:dyDescent="0.25">
      <c r="A464" s="12"/>
      <c r="B464" s="12"/>
      <c r="C464"/>
    </row>
    <row r="465" spans="1:3" x14ac:dyDescent="0.25">
      <c r="A465" s="12"/>
      <c r="B465" s="12"/>
      <c r="C465"/>
    </row>
    <row r="466" spans="1:3" x14ac:dyDescent="0.25">
      <c r="A466" s="12"/>
      <c r="B466" s="12"/>
      <c r="C466"/>
    </row>
    <row r="467" spans="1:3" x14ac:dyDescent="0.25">
      <c r="A467" s="12"/>
      <c r="B467" s="12"/>
      <c r="C467"/>
    </row>
    <row r="468" spans="1:3" x14ac:dyDescent="0.25">
      <c r="A468" s="12"/>
      <c r="B468" s="12"/>
      <c r="C468"/>
    </row>
    <row r="469" spans="1:3" x14ac:dyDescent="0.25">
      <c r="A469" s="12"/>
      <c r="B469" s="12"/>
      <c r="C469"/>
    </row>
    <row r="470" spans="1:3" x14ac:dyDescent="0.25">
      <c r="A470" s="12"/>
      <c r="B470" s="12"/>
      <c r="C470"/>
    </row>
    <row r="471" spans="1:3" x14ac:dyDescent="0.25">
      <c r="A471" s="12"/>
      <c r="B471" s="12"/>
      <c r="C471"/>
    </row>
    <row r="472" spans="1:3" x14ac:dyDescent="0.25">
      <c r="A472" s="12"/>
      <c r="B472" s="12"/>
      <c r="C472"/>
    </row>
    <row r="473" spans="1:3" x14ac:dyDescent="0.25">
      <c r="A473" s="12"/>
      <c r="B473" s="12"/>
      <c r="C473"/>
    </row>
    <row r="474" spans="1:3" x14ac:dyDescent="0.25">
      <c r="A474" s="12"/>
      <c r="B474" s="12"/>
      <c r="C474"/>
    </row>
    <row r="475" spans="1:3" x14ac:dyDescent="0.25">
      <c r="A475" s="12"/>
      <c r="B475" s="12"/>
      <c r="C475"/>
    </row>
    <row r="476" spans="1:3" x14ac:dyDescent="0.25">
      <c r="A476" s="12"/>
      <c r="B476" s="12"/>
      <c r="C476"/>
    </row>
    <row r="477" spans="1:3" x14ac:dyDescent="0.25">
      <c r="A477" s="12"/>
      <c r="B477" s="12"/>
      <c r="C477"/>
    </row>
    <row r="478" spans="1:3" x14ac:dyDescent="0.25">
      <c r="A478" s="12"/>
      <c r="B478" s="12"/>
      <c r="C478"/>
    </row>
    <row r="479" spans="1:3" x14ac:dyDescent="0.25">
      <c r="A479" s="12"/>
      <c r="B479" s="12"/>
      <c r="C479"/>
    </row>
    <row r="480" spans="1:3" x14ac:dyDescent="0.25">
      <c r="A480" s="12"/>
      <c r="B480" s="12"/>
      <c r="C480"/>
    </row>
    <row r="481" spans="1:3" x14ac:dyDescent="0.25">
      <c r="A481" s="12"/>
      <c r="B481" s="12"/>
      <c r="C481"/>
    </row>
    <row r="482" spans="1:3" x14ac:dyDescent="0.25">
      <c r="A482" s="12"/>
      <c r="B482" s="12"/>
      <c r="C482"/>
    </row>
    <row r="483" spans="1:3" x14ac:dyDescent="0.25">
      <c r="A483" s="12"/>
      <c r="B483" s="12"/>
      <c r="C483"/>
    </row>
    <row r="484" spans="1:3" x14ac:dyDescent="0.25">
      <c r="A484" s="12"/>
      <c r="B484" s="12"/>
      <c r="C484"/>
    </row>
    <row r="485" spans="1:3" x14ac:dyDescent="0.25">
      <c r="A485" s="12"/>
      <c r="B485" s="12"/>
      <c r="C485"/>
    </row>
    <row r="486" spans="1:3" x14ac:dyDescent="0.25">
      <c r="A486" s="12"/>
      <c r="B486" s="12"/>
      <c r="C486"/>
    </row>
    <row r="487" spans="1:3" x14ac:dyDescent="0.25">
      <c r="A487" s="12"/>
      <c r="B487" s="12"/>
      <c r="C487"/>
    </row>
    <row r="488" spans="1:3" x14ac:dyDescent="0.25">
      <c r="A488" s="12"/>
      <c r="B488" s="12"/>
      <c r="C488"/>
    </row>
    <row r="489" spans="1:3" x14ac:dyDescent="0.25">
      <c r="A489" s="12"/>
      <c r="B489" s="12"/>
      <c r="C489"/>
    </row>
    <row r="490" spans="1:3" x14ac:dyDescent="0.25">
      <c r="A490" s="12"/>
      <c r="B490" s="12"/>
      <c r="C490"/>
    </row>
    <row r="491" spans="1:3" x14ac:dyDescent="0.25">
      <c r="A491" s="12"/>
      <c r="B491" s="12"/>
      <c r="C491"/>
    </row>
    <row r="492" spans="1:3" x14ac:dyDescent="0.25">
      <c r="A492" s="12"/>
      <c r="B492" s="12"/>
      <c r="C492"/>
    </row>
    <row r="493" spans="1:3" x14ac:dyDescent="0.25">
      <c r="A493" s="12"/>
      <c r="B493" s="12"/>
      <c r="C493"/>
    </row>
    <row r="494" spans="1:3" x14ac:dyDescent="0.25">
      <c r="A494" s="12"/>
      <c r="B494" s="12"/>
      <c r="C494"/>
    </row>
    <row r="495" spans="1:3" x14ac:dyDescent="0.25">
      <c r="A495" s="12"/>
      <c r="B495" s="12"/>
      <c r="C495"/>
    </row>
    <row r="496" spans="1:3" x14ac:dyDescent="0.25">
      <c r="A496" s="12"/>
      <c r="B496" s="12"/>
      <c r="C496"/>
    </row>
    <row r="497" spans="1:3" x14ac:dyDescent="0.25">
      <c r="A497" s="12"/>
      <c r="B497" s="12"/>
      <c r="C497"/>
    </row>
    <row r="498" spans="1:3" x14ac:dyDescent="0.25">
      <c r="A498" s="12"/>
      <c r="B498" s="12"/>
      <c r="C498"/>
    </row>
    <row r="499" spans="1:3" x14ac:dyDescent="0.25">
      <c r="A499" s="12"/>
      <c r="B499" s="12"/>
      <c r="C499"/>
    </row>
    <row r="500" spans="1:3" x14ac:dyDescent="0.25">
      <c r="A500" s="12"/>
      <c r="B500" s="12"/>
      <c r="C500"/>
    </row>
    <row r="501" spans="1:3" x14ac:dyDescent="0.25">
      <c r="A501" s="12"/>
      <c r="B501" s="12"/>
      <c r="C501"/>
    </row>
    <row r="502" spans="1:3" x14ac:dyDescent="0.25">
      <c r="A502" s="12"/>
      <c r="B502" s="12"/>
      <c r="C502"/>
    </row>
    <row r="503" spans="1:3" x14ac:dyDescent="0.25">
      <c r="A503" s="12"/>
      <c r="B503" s="12"/>
      <c r="C503"/>
    </row>
    <row r="504" spans="1:3" x14ac:dyDescent="0.25">
      <c r="A504" s="12"/>
      <c r="B504" s="12"/>
      <c r="C504"/>
    </row>
    <row r="505" spans="1:3" x14ac:dyDescent="0.25">
      <c r="A505" s="12"/>
      <c r="B505" s="12"/>
      <c r="C505"/>
    </row>
    <row r="506" spans="1:3" x14ac:dyDescent="0.25">
      <c r="A506" s="12"/>
      <c r="B506" s="12"/>
      <c r="C506"/>
    </row>
    <row r="507" spans="1:3" x14ac:dyDescent="0.25">
      <c r="A507" s="12"/>
      <c r="B507" s="12"/>
      <c r="C507"/>
    </row>
    <row r="508" spans="1:3" x14ac:dyDescent="0.25">
      <c r="A508" s="12"/>
      <c r="B508" s="12"/>
      <c r="C508"/>
    </row>
    <row r="509" spans="1:3" x14ac:dyDescent="0.25">
      <c r="A509" s="12"/>
      <c r="B509" s="12"/>
      <c r="C509"/>
    </row>
    <row r="510" spans="1:3" x14ac:dyDescent="0.25">
      <c r="A510" s="12"/>
      <c r="B510" s="12"/>
      <c r="C510"/>
    </row>
    <row r="511" spans="1:3" x14ac:dyDescent="0.25">
      <c r="A511" s="12"/>
      <c r="B511" s="12"/>
      <c r="C511"/>
    </row>
    <row r="512" spans="1:3" x14ac:dyDescent="0.25">
      <c r="A512" s="12"/>
      <c r="B512" s="12"/>
      <c r="C512"/>
    </row>
    <row r="513" spans="1:3" x14ac:dyDescent="0.25">
      <c r="A513" s="12"/>
      <c r="B513" s="12"/>
      <c r="C513"/>
    </row>
    <row r="514" spans="1:3" x14ac:dyDescent="0.25">
      <c r="A514" s="12"/>
      <c r="B514" s="12"/>
      <c r="C514"/>
    </row>
    <row r="515" spans="1:3" x14ac:dyDescent="0.25">
      <c r="A515" s="12"/>
      <c r="B515" s="12"/>
      <c r="C515"/>
    </row>
    <row r="516" spans="1:3" x14ac:dyDescent="0.25">
      <c r="A516" s="12"/>
      <c r="B516" s="12"/>
      <c r="C516"/>
    </row>
    <row r="517" spans="1:3" x14ac:dyDescent="0.25">
      <c r="A517" s="12"/>
      <c r="B517" s="12"/>
      <c r="C517"/>
    </row>
    <row r="518" spans="1:3" x14ac:dyDescent="0.25">
      <c r="A518" s="12"/>
      <c r="B518" s="12"/>
      <c r="C518"/>
    </row>
    <row r="519" spans="1:3" x14ac:dyDescent="0.25">
      <c r="A519" s="12"/>
      <c r="B519" s="12"/>
      <c r="C519"/>
    </row>
    <row r="520" spans="1:3" x14ac:dyDescent="0.25">
      <c r="A520" s="12"/>
      <c r="B520" s="12"/>
      <c r="C520"/>
    </row>
    <row r="521" spans="1:3" x14ac:dyDescent="0.25">
      <c r="A521" s="12"/>
      <c r="B521" s="12"/>
      <c r="C521"/>
    </row>
    <row r="522" spans="1:3" x14ac:dyDescent="0.25">
      <c r="A522" s="12"/>
      <c r="B522" s="12"/>
      <c r="C522"/>
    </row>
    <row r="523" spans="1:3" x14ac:dyDescent="0.25">
      <c r="A523" s="12"/>
      <c r="B523" s="12"/>
      <c r="C523"/>
    </row>
    <row r="524" spans="1:3" x14ac:dyDescent="0.25">
      <c r="A524" s="12"/>
      <c r="B524" s="12"/>
      <c r="C524"/>
    </row>
    <row r="525" spans="1:3" x14ac:dyDescent="0.25">
      <c r="A525" s="12"/>
      <c r="B525" s="12"/>
      <c r="C525"/>
    </row>
    <row r="526" spans="1:3" x14ac:dyDescent="0.25">
      <c r="A526" s="12"/>
      <c r="B526" s="12"/>
      <c r="C526"/>
    </row>
    <row r="527" spans="1:3" x14ac:dyDescent="0.25">
      <c r="A527" s="12"/>
      <c r="B527" s="12"/>
      <c r="C527"/>
    </row>
    <row r="528" spans="1:3" x14ac:dyDescent="0.25">
      <c r="A528" s="12"/>
      <c r="B528" s="12"/>
      <c r="C528"/>
    </row>
    <row r="529" spans="1:3" x14ac:dyDescent="0.25">
      <c r="A529" s="12"/>
      <c r="B529" s="12"/>
      <c r="C529"/>
    </row>
    <row r="530" spans="1:3" x14ac:dyDescent="0.25">
      <c r="A530" s="12"/>
      <c r="B530" s="12"/>
      <c r="C530"/>
    </row>
    <row r="531" spans="1:3" x14ac:dyDescent="0.25">
      <c r="A531" s="12"/>
      <c r="B531" s="12"/>
      <c r="C531"/>
    </row>
    <row r="532" spans="1:3" x14ac:dyDescent="0.25">
      <c r="A532" s="12"/>
      <c r="B532" s="12"/>
      <c r="C532"/>
    </row>
    <row r="533" spans="1:3" x14ac:dyDescent="0.25">
      <c r="A533" s="12"/>
      <c r="B533" s="12"/>
      <c r="C533"/>
    </row>
    <row r="534" spans="1:3" x14ac:dyDescent="0.25">
      <c r="A534" s="12"/>
      <c r="B534" s="12"/>
      <c r="C534"/>
    </row>
    <row r="535" spans="1:3" x14ac:dyDescent="0.25">
      <c r="A535" s="12"/>
      <c r="B535" s="12"/>
      <c r="C535"/>
    </row>
    <row r="536" spans="1:3" x14ac:dyDescent="0.25">
      <c r="A536" s="12"/>
      <c r="B536" s="12"/>
      <c r="C536"/>
    </row>
    <row r="537" spans="1:3" x14ac:dyDescent="0.25">
      <c r="A537" s="12"/>
      <c r="B537" s="12"/>
      <c r="C537"/>
    </row>
    <row r="538" spans="1:3" x14ac:dyDescent="0.25">
      <c r="A538" s="12"/>
      <c r="B538" s="12"/>
      <c r="C538"/>
    </row>
    <row r="539" spans="1:3" x14ac:dyDescent="0.25">
      <c r="A539" s="12"/>
      <c r="B539" s="12"/>
      <c r="C539"/>
    </row>
    <row r="540" spans="1:3" x14ac:dyDescent="0.25">
      <c r="A540" s="12"/>
      <c r="B540" s="12"/>
      <c r="C540"/>
    </row>
    <row r="541" spans="1:3" x14ac:dyDescent="0.25">
      <c r="A541" s="12"/>
      <c r="B541" s="12"/>
      <c r="C541"/>
    </row>
    <row r="542" spans="1:3" x14ac:dyDescent="0.25">
      <c r="A542" s="12"/>
      <c r="B542" s="12"/>
      <c r="C542"/>
    </row>
    <row r="543" spans="1:3" x14ac:dyDescent="0.25">
      <c r="A543" s="12"/>
      <c r="B543" s="12"/>
      <c r="C543"/>
    </row>
    <row r="544" spans="1:3" x14ac:dyDescent="0.25">
      <c r="A544" s="12"/>
      <c r="B544" s="12"/>
      <c r="C544"/>
    </row>
    <row r="545" spans="1:3" x14ac:dyDescent="0.25">
      <c r="A545" s="12"/>
      <c r="B545" s="12"/>
      <c r="C545"/>
    </row>
    <row r="546" spans="1:3" x14ac:dyDescent="0.25">
      <c r="A546" s="12"/>
      <c r="B546" s="12"/>
      <c r="C546"/>
    </row>
    <row r="547" spans="1:3" x14ac:dyDescent="0.25">
      <c r="A547" s="12"/>
      <c r="B547" s="12"/>
      <c r="C547"/>
    </row>
    <row r="548" spans="1:3" x14ac:dyDescent="0.25">
      <c r="A548" s="12"/>
      <c r="B548" s="12"/>
      <c r="C548"/>
    </row>
    <row r="549" spans="1:3" x14ac:dyDescent="0.25">
      <c r="A549" s="12"/>
      <c r="B549" s="12"/>
      <c r="C549"/>
    </row>
    <row r="550" spans="1:3" x14ac:dyDescent="0.25">
      <c r="A550" s="12"/>
      <c r="B550" s="12"/>
      <c r="C550"/>
    </row>
    <row r="551" spans="1:3" x14ac:dyDescent="0.25">
      <c r="A551" s="12"/>
      <c r="B551" s="12"/>
      <c r="C551"/>
    </row>
    <row r="552" spans="1:3" x14ac:dyDescent="0.25">
      <c r="A552" s="12"/>
      <c r="B552" s="12"/>
      <c r="C552"/>
    </row>
    <row r="553" spans="1:3" x14ac:dyDescent="0.25">
      <c r="A553" s="12"/>
      <c r="B553" s="12"/>
      <c r="C553"/>
    </row>
    <row r="554" spans="1:3" x14ac:dyDescent="0.25">
      <c r="A554" s="12"/>
      <c r="B554" s="12"/>
      <c r="C554"/>
    </row>
    <row r="555" spans="1:3" x14ac:dyDescent="0.25">
      <c r="A555" s="12"/>
      <c r="B555" s="12"/>
      <c r="C555"/>
    </row>
    <row r="556" spans="1:3" x14ac:dyDescent="0.25">
      <c r="A556" s="12"/>
      <c r="B556" s="12"/>
      <c r="C556"/>
    </row>
    <row r="557" spans="1:3" x14ac:dyDescent="0.25">
      <c r="A557" s="12"/>
      <c r="B557" s="12"/>
      <c r="C557"/>
    </row>
    <row r="558" spans="1:3" x14ac:dyDescent="0.25">
      <c r="A558" s="12"/>
      <c r="B558" s="12"/>
      <c r="C558"/>
    </row>
    <row r="559" spans="1:3" x14ac:dyDescent="0.25">
      <c r="A559" s="12"/>
      <c r="B559" s="12"/>
      <c r="C559"/>
    </row>
    <row r="560" spans="1:3" x14ac:dyDescent="0.25">
      <c r="A560" s="12"/>
      <c r="B560" s="12"/>
      <c r="C560"/>
    </row>
    <row r="561" spans="1:3" x14ac:dyDescent="0.25">
      <c r="A561" s="12"/>
      <c r="B561" s="12"/>
      <c r="C561"/>
    </row>
    <row r="562" spans="1:3" x14ac:dyDescent="0.25">
      <c r="A562" s="12"/>
      <c r="B562" s="12"/>
      <c r="C562"/>
    </row>
    <row r="563" spans="1:3" x14ac:dyDescent="0.25">
      <c r="A563" s="12"/>
      <c r="B563" s="12"/>
      <c r="C563"/>
    </row>
    <row r="564" spans="1:3" x14ac:dyDescent="0.25">
      <c r="A564" s="12"/>
      <c r="B564" s="12"/>
      <c r="C564"/>
    </row>
    <row r="565" spans="1:3" x14ac:dyDescent="0.25">
      <c r="A565" s="12"/>
      <c r="B565" s="12"/>
      <c r="C565"/>
    </row>
    <row r="566" spans="1:3" x14ac:dyDescent="0.25">
      <c r="A566" s="12"/>
      <c r="B566" s="12"/>
      <c r="C566"/>
    </row>
    <row r="567" spans="1:3" x14ac:dyDescent="0.25">
      <c r="A567" s="12"/>
      <c r="B567" s="12"/>
      <c r="C567"/>
    </row>
    <row r="568" spans="1:3" x14ac:dyDescent="0.25">
      <c r="A568" s="12"/>
      <c r="B568" s="12"/>
      <c r="C568"/>
    </row>
    <row r="569" spans="1:3" x14ac:dyDescent="0.25">
      <c r="A569" s="12"/>
      <c r="B569" s="12"/>
      <c r="C569"/>
    </row>
    <row r="570" spans="1:3" x14ac:dyDescent="0.25">
      <c r="A570" s="12"/>
      <c r="B570" s="12"/>
      <c r="C570"/>
    </row>
    <row r="571" spans="1:3" x14ac:dyDescent="0.25">
      <c r="A571" s="12"/>
      <c r="B571" s="12"/>
      <c r="C571"/>
    </row>
    <row r="572" spans="1:3" x14ac:dyDescent="0.25">
      <c r="A572" s="12"/>
      <c r="B572" s="12"/>
      <c r="C572"/>
    </row>
    <row r="573" spans="1:3" x14ac:dyDescent="0.25">
      <c r="A573" s="12"/>
      <c r="B573" s="12"/>
      <c r="C573"/>
    </row>
    <row r="574" spans="1:3" x14ac:dyDescent="0.25">
      <c r="A574" s="12"/>
      <c r="B574" s="12"/>
      <c r="C574"/>
    </row>
    <row r="575" spans="1:3" x14ac:dyDescent="0.25">
      <c r="A575" s="12"/>
      <c r="B575" s="12"/>
      <c r="C575"/>
    </row>
    <row r="576" spans="1:3" x14ac:dyDescent="0.25">
      <c r="A576" s="12"/>
      <c r="B576" s="12"/>
      <c r="C576"/>
    </row>
    <row r="577" spans="1:3" x14ac:dyDescent="0.25">
      <c r="A577" s="12"/>
      <c r="B577" s="12"/>
      <c r="C577"/>
    </row>
    <row r="578" spans="1:3" x14ac:dyDescent="0.25">
      <c r="A578" s="12"/>
      <c r="B578" s="12"/>
      <c r="C578"/>
    </row>
    <row r="579" spans="1:3" x14ac:dyDescent="0.25">
      <c r="A579" s="12"/>
      <c r="B579" s="12"/>
      <c r="C579"/>
    </row>
    <row r="580" spans="1:3" x14ac:dyDescent="0.25">
      <c r="A580" s="12"/>
      <c r="B580" s="12"/>
      <c r="C580"/>
    </row>
    <row r="581" spans="1:3" x14ac:dyDescent="0.25">
      <c r="A581" s="12"/>
      <c r="B581" s="12"/>
      <c r="C581"/>
    </row>
    <row r="582" spans="1:3" x14ac:dyDescent="0.25">
      <c r="A582" s="12"/>
      <c r="B582" s="12"/>
      <c r="C582"/>
    </row>
    <row r="583" spans="1:3" x14ac:dyDescent="0.25">
      <c r="A583" s="12"/>
      <c r="B583" s="12"/>
      <c r="C583"/>
    </row>
    <row r="584" spans="1:3" x14ac:dyDescent="0.25">
      <c r="A584" s="12"/>
      <c r="B584" s="12"/>
      <c r="C584"/>
    </row>
    <row r="585" spans="1:3" x14ac:dyDescent="0.25">
      <c r="A585" s="12"/>
      <c r="B585" s="12"/>
      <c r="C585"/>
    </row>
    <row r="586" spans="1:3" x14ac:dyDescent="0.25">
      <c r="A586" s="12"/>
      <c r="B586" s="12"/>
      <c r="C586"/>
    </row>
    <row r="587" spans="1:3" x14ac:dyDescent="0.25">
      <c r="A587" s="12"/>
      <c r="B587" s="12"/>
      <c r="C587"/>
    </row>
    <row r="588" spans="1:3" x14ac:dyDescent="0.25">
      <c r="A588" s="12"/>
      <c r="B588" s="12"/>
      <c r="C588"/>
    </row>
    <row r="589" spans="1:3" x14ac:dyDescent="0.25">
      <c r="A589" s="12"/>
      <c r="B589" s="12"/>
      <c r="C589"/>
    </row>
    <row r="590" spans="1:3" x14ac:dyDescent="0.25">
      <c r="A590" s="12"/>
      <c r="B590" s="12"/>
      <c r="C590"/>
    </row>
    <row r="591" spans="1:3" x14ac:dyDescent="0.25">
      <c r="A591" s="12"/>
      <c r="B591" s="12"/>
      <c r="C591"/>
    </row>
    <row r="592" spans="1:3" x14ac:dyDescent="0.25">
      <c r="A592" s="12"/>
      <c r="B592" s="12"/>
      <c r="C592"/>
    </row>
    <row r="593" spans="1:3" x14ac:dyDescent="0.25">
      <c r="A593" s="12"/>
      <c r="B593" s="12"/>
      <c r="C593"/>
    </row>
    <row r="594" spans="1:3" x14ac:dyDescent="0.25">
      <c r="A594" s="12"/>
      <c r="B594" s="12"/>
      <c r="C594"/>
    </row>
    <row r="595" spans="1:3" x14ac:dyDescent="0.25">
      <c r="A595" s="12"/>
      <c r="B595" s="12"/>
      <c r="C595"/>
    </row>
    <row r="596" spans="1:3" x14ac:dyDescent="0.25">
      <c r="A596" s="12"/>
      <c r="B596" s="12"/>
      <c r="C596"/>
    </row>
    <row r="597" spans="1:3" x14ac:dyDescent="0.25">
      <c r="A597" s="12"/>
      <c r="B597" s="12"/>
      <c r="C597"/>
    </row>
    <row r="598" spans="1:3" x14ac:dyDescent="0.25">
      <c r="A598" s="12"/>
      <c r="B598" s="12"/>
      <c r="C598"/>
    </row>
    <row r="599" spans="1:3" x14ac:dyDescent="0.25">
      <c r="A599" s="12"/>
      <c r="B599" s="12"/>
      <c r="C599"/>
    </row>
    <row r="600" spans="1:3" x14ac:dyDescent="0.25">
      <c r="A600" s="12"/>
      <c r="B600" s="12"/>
      <c r="C600"/>
    </row>
    <row r="601" spans="1:3" x14ac:dyDescent="0.25">
      <c r="A601" s="12"/>
      <c r="B601" s="12"/>
      <c r="C601"/>
    </row>
    <row r="602" spans="1:3" x14ac:dyDescent="0.25">
      <c r="A602" s="12"/>
      <c r="B602" s="12"/>
      <c r="C602"/>
    </row>
    <row r="603" spans="1:3" x14ac:dyDescent="0.25">
      <c r="A603" s="12"/>
      <c r="B603" s="12"/>
      <c r="C603"/>
    </row>
    <row r="604" spans="1:3" x14ac:dyDescent="0.25">
      <c r="A604" s="12"/>
      <c r="B604" s="12"/>
      <c r="C604"/>
    </row>
    <row r="605" spans="1:3" x14ac:dyDescent="0.25">
      <c r="A605" s="12"/>
      <c r="B605" s="12"/>
      <c r="C605"/>
    </row>
    <row r="606" spans="1:3" x14ac:dyDescent="0.25">
      <c r="A606" s="12"/>
      <c r="B606" s="12"/>
      <c r="C606"/>
    </row>
    <row r="607" spans="1:3" x14ac:dyDescent="0.25">
      <c r="A607" s="12"/>
      <c r="B607" s="12"/>
      <c r="C607"/>
    </row>
    <row r="608" spans="1:3" x14ac:dyDescent="0.25">
      <c r="A608" s="12"/>
      <c r="B608" s="12"/>
      <c r="C608"/>
    </row>
    <row r="609" spans="1:3" x14ac:dyDescent="0.25">
      <c r="A609" s="12"/>
      <c r="B609" s="12"/>
      <c r="C609"/>
    </row>
    <row r="610" spans="1:3" x14ac:dyDescent="0.25">
      <c r="A610" s="12"/>
      <c r="B610" s="12"/>
      <c r="C610"/>
    </row>
    <row r="611" spans="1:3" x14ac:dyDescent="0.25">
      <c r="A611" s="12"/>
      <c r="B611" s="12"/>
      <c r="C611"/>
    </row>
    <row r="612" spans="1:3" x14ac:dyDescent="0.25">
      <c r="A612" s="12"/>
      <c r="B612" s="12"/>
      <c r="C612"/>
    </row>
    <row r="613" spans="1:3" x14ac:dyDescent="0.25">
      <c r="A613" s="12"/>
      <c r="B613" s="12"/>
      <c r="C613"/>
    </row>
    <row r="614" spans="1:3" x14ac:dyDescent="0.25">
      <c r="A614" s="12"/>
      <c r="B614" s="12"/>
      <c r="C614"/>
    </row>
    <row r="615" spans="1:3" x14ac:dyDescent="0.25">
      <c r="A615" s="12"/>
      <c r="B615" s="12"/>
      <c r="C615"/>
    </row>
    <row r="616" spans="1:3" x14ac:dyDescent="0.25">
      <c r="A616" s="12"/>
      <c r="B616" s="12"/>
      <c r="C616"/>
    </row>
    <row r="617" spans="1:3" x14ac:dyDescent="0.25">
      <c r="A617" s="12"/>
      <c r="B617" s="12"/>
      <c r="C617"/>
    </row>
    <row r="618" spans="1:3" x14ac:dyDescent="0.25">
      <c r="A618" s="12"/>
      <c r="B618" s="12"/>
      <c r="C618"/>
    </row>
    <row r="619" spans="1:3" x14ac:dyDescent="0.25">
      <c r="A619" s="12"/>
      <c r="B619" s="12"/>
      <c r="C619"/>
    </row>
    <row r="620" spans="1:3" x14ac:dyDescent="0.25">
      <c r="A620" s="12"/>
      <c r="B620" s="12"/>
      <c r="C620"/>
    </row>
    <row r="621" spans="1:3" x14ac:dyDescent="0.25">
      <c r="A621" s="12"/>
      <c r="B621" s="12"/>
      <c r="C621"/>
    </row>
    <row r="622" spans="1:3" x14ac:dyDescent="0.25">
      <c r="A622" s="12"/>
      <c r="B622" s="12"/>
      <c r="C622"/>
    </row>
    <row r="623" spans="1:3" x14ac:dyDescent="0.25">
      <c r="A623" s="12"/>
      <c r="B623" s="12"/>
      <c r="C623"/>
    </row>
    <row r="624" spans="1:3" x14ac:dyDescent="0.25">
      <c r="A624" s="12"/>
      <c r="B624" s="12"/>
      <c r="C624"/>
    </row>
    <row r="625" spans="1:3" x14ac:dyDescent="0.25">
      <c r="A625" s="12"/>
      <c r="B625" s="12"/>
      <c r="C625"/>
    </row>
    <row r="626" spans="1:3" x14ac:dyDescent="0.25">
      <c r="A626" s="12"/>
      <c r="B626" s="12"/>
      <c r="C626"/>
    </row>
    <row r="627" spans="1:3" x14ac:dyDescent="0.25">
      <c r="A627" s="12"/>
      <c r="B627" s="12"/>
      <c r="C627"/>
    </row>
    <row r="628" spans="1:3" x14ac:dyDescent="0.25">
      <c r="A628" s="12"/>
      <c r="B628" s="12"/>
      <c r="C628"/>
    </row>
    <row r="629" spans="1:3" x14ac:dyDescent="0.25">
      <c r="A629" s="12"/>
      <c r="B629" s="12"/>
      <c r="C629"/>
    </row>
    <row r="630" spans="1:3" x14ac:dyDescent="0.25">
      <c r="A630" s="12"/>
      <c r="B630" s="12"/>
      <c r="C630"/>
    </row>
    <row r="631" spans="1:3" x14ac:dyDescent="0.25">
      <c r="A631" s="12"/>
      <c r="B631" s="12"/>
      <c r="C631"/>
    </row>
    <row r="632" spans="1:3" x14ac:dyDescent="0.25">
      <c r="A632" s="12"/>
      <c r="B632" s="12"/>
      <c r="C632"/>
    </row>
    <row r="633" spans="1:3" x14ac:dyDescent="0.25">
      <c r="A633" s="12"/>
      <c r="B633" s="12"/>
      <c r="C633"/>
    </row>
    <row r="634" spans="1:3" x14ac:dyDescent="0.25">
      <c r="A634" s="12"/>
      <c r="B634" s="12"/>
      <c r="C634"/>
    </row>
    <row r="635" spans="1:3" x14ac:dyDescent="0.25">
      <c r="A635" s="12"/>
      <c r="B635" s="12"/>
      <c r="C635"/>
    </row>
    <row r="636" spans="1:3" x14ac:dyDescent="0.25">
      <c r="A636" s="12"/>
      <c r="B636" s="12"/>
      <c r="C636"/>
    </row>
    <row r="637" spans="1:3" x14ac:dyDescent="0.25">
      <c r="A637" s="12"/>
      <c r="B637" s="12"/>
      <c r="C637"/>
    </row>
    <row r="638" spans="1:3" x14ac:dyDescent="0.25">
      <c r="A638" s="12"/>
      <c r="B638" s="12"/>
      <c r="C638"/>
    </row>
    <row r="639" spans="1:3" x14ac:dyDescent="0.25">
      <c r="A639" s="12"/>
      <c r="B639" s="12"/>
      <c r="C639"/>
    </row>
    <row r="640" spans="1:3" x14ac:dyDescent="0.25">
      <c r="A640" s="12"/>
      <c r="B640" s="12"/>
      <c r="C640"/>
    </row>
    <row r="641" spans="1:3" x14ac:dyDescent="0.25">
      <c r="A641" s="12"/>
      <c r="B641" s="12"/>
      <c r="C641"/>
    </row>
    <row r="642" spans="1:3" x14ac:dyDescent="0.25">
      <c r="A642" s="12"/>
      <c r="B642" s="12"/>
      <c r="C642"/>
    </row>
    <row r="643" spans="1:3" x14ac:dyDescent="0.25">
      <c r="A643" s="12"/>
      <c r="B643" s="12"/>
      <c r="C643"/>
    </row>
    <row r="644" spans="1:3" x14ac:dyDescent="0.25">
      <c r="A644" s="12"/>
      <c r="B644" s="12"/>
      <c r="C644"/>
    </row>
    <row r="645" spans="1:3" x14ac:dyDescent="0.25">
      <c r="A645" s="12"/>
      <c r="B645" s="12"/>
      <c r="C645"/>
    </row>
    <row r="646" spans="1:3" x14ac:dyDescent="0.25">
      <c r="A646" s="12"/>
      <c r="B646" s="12"/>
      <c r="C646"/>
    </row>
    <row r="647" spans="1:3" x14ac:dyDescent="0.25">
      <c r="A647" s="12"/>
      <c r="B647" s="12"/>
      <c r="C647"/>
    </row>
    <row r="648" spans="1:3" x14ac:dyDescent="0.25">
      <c r="A648" s="12"/>
      <c r="B648" s="12"/>
      <c r="C648"/>
    </row>
    <row r="649" spans="1:3" x14ac:dyDescent="0.25">
      <c r="A649" s="12"/>
      <c r="B649" s="12"/>
      <c r="C649"/>
    </row>
    <row r="650" spans="1:3" x14ac:dyDescent="0.25">
      <c r="A650" s="12"/>
      <c r="B650" s="12"/>
      <c r="C650"/>
    </row>
    <row r="651" spans="1:3" x14ac:dyDescent="0.25">
      <c r="A651" s="12"/>
      <c r="B651" s="12"/>
      <c r="C651"/>
    </row>
    <row r="652" spans="1:3" x14ac:dyDescent="0.25">
      <c r="A652" s="12"/>
      <c r="B652" s="12"/>
      <c r="C652"/>
    </row>
    <row r="653" spans="1:3" x14ac:dyDescent="0.25">
      <c r="A653" s="12"/>
      <c r="B653" s="12"/>
      <c r="C653"/>
    </row>
    <row r="654" spans="1:3" x14ac:dyDescent="0.25">
      <c r="A654" s="12"/>
      <c r="B654" s="12"/>
      <c r="C654"/>
    </row>
    <row r="655" spans="1:3" x14ac:dyDescent="0.25">
      <c r="A655" s="12"/>
      <c r="B655" s="12"/>
      <c r="C655"/>
    </row>
    <row r="656" spans="1:3" x14ac:dyDescent="0.25">
      <c r="A656" s="12"/>
      <c r="B656" s="12"/>
      <c r="C656"/>
    </row>
    <row r="657" spans="1:3" x14ac:dyDescent="0.25">
      <c r="A657" s="12"/>
      <c r="B657" s="12"/>
      <c r="C657"/>
    </row>
    <row r="658" spans="1:3" x14ac:dyDescent="0.25">
      <c r="A658" s="12"/>
      <c r="B658" s="12"/>
      <c r="C658"/>
    </row>
    <row r="659" spans="1:3" x14ac:dyDescent="0.25">
      <c r="A659" s="12"/>
      <c r="B659" s="12"/>
      <c r="C659"/>
    </row>
    <row r="660" spans="1:3" x14ac:dyDescent="0.25">
      <c r="A660" s="12"/>
      <c r="B660" s="12"/>
      <c r="C660"/>
    </row>
    <row r="661" spans="1:3" x14ac:dyDescent="0.25">
      <c r="A661" s="12"/>
      <c r="B661" s="12"/>
      <c r="C661"/>
    </row>
    <row r="662" spans="1:3" x14ac:dyDescent="0.25">
      <c r="A662" s="12"/>
      <c r="B662" s="12"/>
      <c r="C662"/>
    </row>
    <row r="663" spans="1:3" x14ac:dyDescent="0.25">
      <c r="A663" s="12"/>
      <c r="B663" s="12"/>
      <c r="C663"/>
    </row>
    <row r="664" spans="1:3" x14ac:dyDescent="0.25">
      <c r="A664" s="12"/>
      <c r="B664" s="12"/>
      <c r="C664"/>
    </row>
    <row r="665" spans="1:3" x14ac:dyDescent="0.25">
      <c r="A665" s="12"/>
      <c r="B665" s="12"/>
      <c r="C665"/>
    </row>
    <row r="666" spans="1:3" x14ac:dyDescent="0.25">
      <c r="A666" s="12"/>
      <c r="B666" s="12"/>
      <c r="C666"/>
    </row>
    <row r="667" spans="1:3" x14ac:dyDescent="0.25">
      <c r="A667" s="12"/>
      <c r="B667" s="12"/>
      <c r="C667"/>
    </row>
    <row r="668" spans="1:3" x14ac:dyDescent="0.25">
      <c r="A668" s="12"/>
      <c r="B668" s="12"/>
      <c r="C668"/>
    </row>
    <row r="669" spans="1:3" x14ac:dyDescent="0.25">
      <c r="A669" s="12"/>
      <c r="B669" s="12"/>
      <c r="C669"/>
    </row>
    <row r="670" spans="1:3" x14ac:dyDescent="0.25">
      <c r="A670" s="12"/>
      <c r="B670" s="12"/>
      <c r="C670"/>
    </row>
    <row r="671" spans="1:3" x14ac:dyDescent="0.25">
      <c r="A671" s="12"/>
      <c r="B671" s="12"/>
      <c r="C671"/>
    </row>
    <row r="672" spans="1:3" x14ac:dyDescent="0.25">
      <c r="A672" s="12"/>
      <c r="B672" s="12"/>
      <c r="C672"/>
    </row>
    <row r="673" spans="1:3" x14ac:dyDescent="0.25">
      <c r="A673" s="12"/>
      <c r="B673" s="12"/>
      <c r="C673"/>
    </row>
    <row r="674" spans="1:3" x14ac:dyDescent="0.25">
      <c r="A674" s="12"/>
      <c r="B674" s="12"/>
      <c r="C674"/>
    </row>
    <row r="675" spans="1:3" x14ac:dyDescent="0.25">
      <c r="A675" s="12"/>
      <c r="B675" s="12"/>
      <c r="C675"/>
    </row>
    <row r="676" spans="1:3" x14ac:dyDescent="0.25">
      <c r="A676" s="12"/>
      <c r="B676" s="12"/>
      <c r="C676"/>
    </row>
    <row r="677" spans="1:3" x14ac:dyDescent="0.25">
      <c r="A677" s="12"/>
      <c r="B677" s="12"/>
      <c r="C677"/>
    </row>
    <row r="678" spans="1:3" x14ac:dyDescent="0.25">
      <c r="A678" s="12"/>
      <c r="B678" s="12"/>
      <c r="C678"/>
    </row>
    <row r="679" spans="1:3" x14ac:dyDescent="0.25">
      <c r="A679" s="12"/>
      <c r="B679" s="12"/>
      <c r="C679"/>
    </row>
    <row r="680" spans="1:3" x14ac:dyDescent="0.25">
      <c r="A680" s="12"/>
      <c r="B680" s="12"/>
      <c r="C680"/>
    </row>
    <row r="681" spans="1:3" x14ac:dyDescent="0.25">
      <c r="A681" s="12"/>
      <c r="B681" s="12"/>
      <c r="C681"/>
    </row>
    <row r="682" spans="1:3" x14ac:dyDescent="0.25">
      <c r="A682" s="12"/>
      <c r="B682" s="12"/>
      <c r="C682"/>
    </row>
    <row r="683" spans="1:3" x14ac:dyDescent="0.25">
      <c r="A683" s="12"/>
      <c r="B683" s="12"/>
      <c r="C683"/>
    </row>
    <row r="684" spans="1:3" x14ac:dyDescent="0.25">
      <c r="A684" s="12"/>
      <c r="B684" s="12"/>
      <c r="C684"/>
    </row>
    <row r="685" spans="1:3" x14ac:dyDescent="0.25">
      <c r="A685" s="12"/>
      <c r="B685" s="12"/>
      <c r="C685"/>
    </row>
    <row r="686" spans="1:3" x14ac:dyDescent="0.25">
      <c r="A686" s="12"/>
      <c r="B686" s="12"/>
      <c r="C686"/>
    </row>
    <row r="687" spans="1:3" x14ac:dyDescent="0.25">
      <c r="A687" s="12"/>
      <c r="B687" s="12"/>
      <c r="C687"/>
    </row>
    <row r="688" spans="1:3" x14ac:dyDescent="0.25">
      <c r="A688" s="12"/>
      <c r="B688" s="12"/>
      <c r="C688"/>
    </row>
    <row r="689" spans="1:3" x14ac:dyDescent="0.25">
      <c r="A689" s="12"/>
      <c r="B689" s="12"/>
      <c r="C689"/>
    </row>
    <row r="690" spans="1:3" x14ac:dyDescent="0.25">
      <c r="A690" s="12"/>
      <c r="B690" s="12"/>
      <c r="C690"/>
    </row>
    <row r="691" spans="1:3" x14ac:dyDescent="0.25">
      <c r="A691" s="12"/>
      <c r="B691" s="12"/>
      <c r="C691"/>
    </row>
    <row r="692" spans="1:3" x14ac:dyDescent="0.25">
      <c r="A692" s="12"/>
      <c r="B692" s="12"/>
      <c r="C692"/>
    </row>
    <row r="693" spans="1:3" x14ac:dyDescent="0.25">
      <c r="A693" s="12"/>
      <c r="B693" s="12"/>
      <c r="C693"/>
    </row>
    <row r="694" spans="1:3" x14ac:dyDescent="0.25">
      <c r="A694" s="12"/>
      <c r="B694" s="12"/>
      <c r="C694"/>
    </row>
    <row r="695" spans="1:3" x14ac:dyDescent="0.25">
      <c r="A695" s="12"/>
      <c r="B695" s="12"/>
      <c r="C695"/>
    </row>
    <row r="696" spans="1:3" x14ac:dyDescent="0.25">
      <c r="A696" s="12"/>
      <c r="B696" s="12"/>
      <c r="C696"/>
    </row>
    <row r="697" spans="1:3" x14ac:dyDescent="0.25">
      <c r="A697" s="12"/>
      <c r="B697" s="12"/>
      <c r="C697"/>
    </row>
    <row r="698" spans="1:3" x14ac:dyDescent="0.25">
      <c r="A698" s="12"/>
      <c r="B698" s="12"/>
      <c r="C698"/>
    </row>
    <row r="699" spans="1:3" x14ac:dyDescent="0.25">
      <c r="A699" s="12"/>
      <c r="B699" s="12"/>
      <c r="C699"/>
    </row>
    <row r="700" spans="1:3" x14ac:dyDescent="0.25">
      <c r="A700" s="12"/>
      <c r="B700" s="12"/>
      <c r="C700"/>
    </row>
    <row r="701" spans="1:3" x14ac:dyDescent="0.25">
      <c r="A701" s="12"/>
      <c r="B701" s="12"/>
      <c r="C701"/>
    </row>
    <row r="702" spans="1:3" x14ac:dyDescent="0.25">
      <c r="A702" s="12"/>
      <c r="B702" s="12"/>
      <c r="C702"/>
    </row>
    <row r="703" spans="1:3" x14ac:dyDescent="0.25">
      <c r="A703" s="12"/>
      <c r="B703" s="12"/>
      <c r="C703"/>
    </row>
    <row r="704" spans="1:3" x14ac:dyDescent="0.25">
      <c r="A704" s="12"/>
      <c r="B704" s="12"/>
      <c r="C704"/>
    </row>
    <row r="705" spans="1:3" x14ac:dyDescent="0.25">
      <c r="A705" s="12"/>
      <c r="B705" s="12"/>
      <c r="C705"/>
    </row>
    <row r="706" spans="1:3" x14ac:dyDescent="0.25">
      <c r="A706" s="12"/>
      <c r="B706" s="12"/>
      <c r="C706"/>
    </row>
    <row r="707" spans="1:3" x14ac:dyDescent="0.25">
      <c r="A707" s="12"/>
      <c r="B707" s="12"/>
      <c r="C707"/>
    </row>
    <row r="708" spans="1:3" x14ac:dyDescent="0.25">
      <c r="A708" s="12"/>
      <c r="B708" s="12"/>
      <c r="C708"/>
    </row>
    <row r="709" spans="1:3" x14ac:dyDescent="0.25">
      <c r="A709" s="12"/>
      <c r="B709" s="12"/>
      <c r="C709"/>
    </row>
    <row r="710" spans="1:3" x14ac:dyDescent="0.25">
      <c r="A710" s="12"/>
      <c r="B710" s="12"/>
      <c r="C710"/>
    </row>
    <row r="711" spans="1:3" x14ac:dyDescent="0.25">
      <c r="A711" s="12"/>
      <c r="B711" s="12"/>
      <c r="C711"/>
    </row>
    <row r="712" spans="1:3" x14ac:dyDescent="0.25">
      <c r="A712" s="12"/>
      <c r="B712" s="12"/>
      <c r="C712"/>
    </row>
    <row r="713" spans="1:3" x14ac:dyDescent="0.25">
      <c r="A713" s="12"/>
      <c r="B713" s="12"/>
      <c r="C713"/>
    </row>
    <row r="714" spans="1:3" x14ac:dyDescent="0.25">
      <c r="A714" s="12"/>
      <c r="B714" s="12"/>
      <c r="C714"/>
    </row>
    <row r="715" spans="1:3" x14ac:dyDescent="0.25">
      <c r="A715" s="12"/>
      <c r="B715" s="12"/>
      <c r="C715"/>
    </row>
    <row r="716" spans="1:3" x14ac:dyDescent="0.25">
      <c r="A716" s="12"/>
      <c r="B716" s="12"/>
      <c r="C716"/>
    </row>
    <row r="717" spans="1:3" x14ac:dyDescent="0.25">
      <c r="A717" s="12"/>
      <c r="B717" s="12"/>
      <c r="C717"/>
    </row>
    <row r="718" spans="1:3" x14ac:dyDescent="0.25">
      <c r="A718" s="12"/>
      <c r="B718" s="12"/>
      <c r="C718"/>
    </row>
    <row r="719" spans="1:3" x14ac:dyDescent="0.25">
      <c r="A719" s="12"/>
      <c r="B719" s="12"/>
      <c r="C719"/>
    </row>
    <row r="720" spans="1:3" x14ac:dyDescent="0.25">
      <c r="A720" s="12"/>
      <c r="B720" s="12"/>
      <c r="C720"/>
    </row>
    <row r="721" spans="1:3" x14ac:dyDescent="0.25">
      <c r="A721" s="12"/>
      <c r="B721" s="12"/>
      <c r="C721"/>
    </row>
    <row r="722" spans="1:3" x14ac:dyDescent="0.25">
      <c r="A722" s="12"/>
      <c r="B722" s="12"/>
      <c r="C722"/>
    </row>
    <row r="723" spans="1:3" x14ac:dyDescent="0.25">
      <c r="A723" s="12"/>
      <c r="B723" s="12"/>
      <c r="C723"/>
    </row>
    <row r="724" spans="1:3" x14ac:dyDescent="0.25">
      <c r="A724" s="12"/>
      <c r="B724" s="12"/>
      <c r="C724"/>
    </row>
    <row r="725" spans="1:3" x14ac:dyDescent="0.25">
      <c r="A725" s="12"/>
      <c r="B725" s="12"/>
      <c r="C725"/>
    </row>
    <row r="726" spans="1:3" x14ac:dyDescent="0.25">
      <c r="A726" s="12"/>
      <c r="B726" s="12"/>
      <c r="C726"/>
    </row>
    <row r="727" spans="1:3" x14ac:dyDescent="0.25">
      <c r="A727" s="12"/>
      <c r="B727" s="12"/>
      <c r="C727"/>
    </row>
    <row r="728" spans="1:3" x14ac:dyDescent="0.25">
      <c r="A728" s="12"/>
      <c r="B728" s="12"/>
      <c r="C728"/>
    </row>
    <row r="729" spans="1:3" x14ac:dyDescent="0.25">
      <c r="A729" s="12"/>
      <c r="B729" s="12"/>
      <c r="C729"/>
    </row>
    <row r="730" spans="1:3" x14ac:dyDescent="0.25">
      <c r="A730" s="12"/>
      <c r="B730" s="12"/>
      <c r="C730"/>
    </row>
    <row r="731" spans="1:3" x14ac:dyDescent="0.25">
      <c r="A731" s="12"/>
      <c r="B731" s="12"/>
      <c r="C731"/>
    </row>
    <row r="732" spans="1:3" x14ac:dyDescent="0.25">
      <c r="A732" s="12"/>
      <c r="B732" s="12"/>
      <c r="C732"/>
    </row>
    <row r="733" spans="1:3" x14ac:dyDescent="0.25">
      <c r="A733" s="12"/>
      <c r="B733" s="12"/>
      <c r="C733"/>
    </row>
    <row r="734" spans="1:3" x14ac:dyDescent="0.25">
      <c r="A734" s="12"/>
      <c r="B734" s="12"/>
      <c r="C734"/>
    </row>
    <row r="735" spans="1:3" x14ac:dyDescent="0.25">
      <c r="A735" s="12"/>
      <c r="B735" s="12"/>
      <c r="C735"/>
    </row>
    <row r="736" spans="1:3" x14ac:dyDescent="0.25">
      <c r="A736" s="12"/>
      <c r="B736" s="12"/>
      <c r="C736"/>
    </row>
    <row r="737" spans="1:3" x14ac:dyDescent="0.25">
      <c r="A737" s="12"/>
      <c r="B737" s="12"/>
      <c r="C737"/>
    </row>
    <row r="738" spans="1:3" x14ac:dyDescent="0.25">
      <c r="A738" s="12"/>
      <c r="B738" s="12"/>
      <c r="C738"/>
    </row>
    <row r="739" spans="1:3" x14ac:dyDescent="0.25">
      <c r="A739" s="12"/>
      <c r="B739" s="12"/>
      <c r="C739"/>
    </row>
    <row r="740" spans="1:3" x14ac:dyDescent="0.25">
      <c r="A740" s="12"/>
      <c r="B740" s="12"/>
      <c r="C740"/>
    </row>
    <row r="741" spans="1:3" x14ac:dyDescent="0.25">
      <c r="A741" s="12"/>
      <c r="B741" s="12"/>
      <c r="C741"/>
    </row>
    <row r="742" spans="1:3" x14ac:dyDescent="0.25">
      <c r="A742" s="12"/>
      <c r="B742" s="12"/>
      <c r="C742"/>
    </row>
    <row r="743" spans="1:3" x14ac:dyDescent="0.25">
      <c r="A743" s="12"/>
      <c r="B743" s="12"/>
      <c r="C743"/>
    </row>
    <row r="744" spans="1:3" x14ac:dyDescent="0.25">
      <c r="A744" s="12"/>
      <c r="B744" s="12"/>
      <c r="C744"/>
    </row>
    <row r="745" spans="1:3" x14ac:dyDescent="0.25">
      <c r="A745" s="12"/>
      <c r="B745" s="12"/>
      <c r="C745"/>
    </row>
    <row r="746" spans="1:3" x14ac:dyDescent="0.25">
      <c r="A746" s="12"/>
      <c r="B746" s="12"/>
      <c r="C746"/>
    </row>
    <row r="747" spans="1:3" x14ac:dyDescent="0.25">
      <c r="A747" s="12"/>
      <c r="B747" s="12"/>
      <c r="C747"/>
    </row>
    <row r="748" spans="1:3" x14ac:dyDescent="0.25">
      <c r="A748" s="12"/>
      <c r="B748" s="12"/>
      <c r="C748"/>
    </row>
    <row r="749" spans="1:3" x14ac:dyDescent="0.25">
      <c r="A749" s="12"/>
      <c r="B749" s="12"/>
      <c r="C749"/>
    </row>
    <row r="750" spans="1:3" x14ac:dyDescent="0.25">
      <c r="A750" s="12"/>
      <c r="B750" s="12"/>
      <c r="C750"/>
    </row>
    <row r="751" spans="1:3" x14ac:dyDescent="0.25">
      <c r="A751" s="12"/>
      <c r="B751" s="12"/>
      <c r="C751"/>
    </row>
    <row r="752" spans="1:3" x14ac:dyDescent="0.25">
      <c r="A752" s="12"/>
      <c r="B752" s="12"/>
      <c r="C752"/>
    </row>
    <row r="753" spans="1:3" x14ac:dyDescent="0.25">
      <c r="A753" s="12"/>
      <c r="B753" s="12"/>
      <c r="C753"/>
    </row>
    <row r="754" spans="1:3" x14ac:dyDescent="0.25">
      <c r="A754" s="12"/>
      <c r="B754" s="12"/>
      <c r="C754"/>
    </row>
    <row r="755" spans="1:3" x14ac:dyDescent="0.25">
      <c r="A755" s="12"/>
      <c r="B755" s="12"/>
      <c r="C755"/>
    </row>
    <row r="756" spans="1:3" x14ac:dyDescent="0.25">
      <c r="A756" s="12"/>
      <c r="B756" s="12"/>
      <c r="C756"/>
    </row>
    <row r="757" spans="1:3" x14ac:dyDescent="0.25">
      <c r="A757" s="12"/>
      <c r="B757" s="12"/>
      <c r="C757"/>
    </row>
    <row r="758" spans="1:3" x14ac:dyDescent="0.25">
      <c r="A758" s="12"/>
      <c r="B758" s="12"/>
      <c r="C758"/>
    </row>
    <row r="759" spans="1:3" x14ac:dyDescent="0.25">
      <c r="A759" s="12"/>
      <c r="B759" s="12"/>
      <c r="C759"/>
    </row>
    <row r="760" spans="1:3" x14ac:dyDescent="0.25">
      <c r="A760" s="12"/>
      <c r="B760" s="12"/>
      <c r="C760"/>
    </row>
    <row r="761" spans="1:3" x14ac:dyDescent="0.25">
      <c r="A761" s="12"/>
      <c r="B761" s="12"/>
      <c r="C761"/>
    </row>
    <row r="762" spans="1:3" x14ac:dyDescent="0.25">
      <c r="A762" s="12"/>
      <c r="B762" s="12"/>
      <c r="C762"/>
    </row>
    <row r="763" spans="1:3" x14ac:dyDescent="0.25">
      <c r="A763" s="12"/>
      <c r="B763" s="12"/>
      <c r="C763"/>
    </row>
    <row r="764" spans="1:3" x14ac:dyDescent="0.25">
      <c r="A764" s="12"/>
      <c r="B764" s="12"/>
      <c r="C764"/>
    </row>
    <row r="765" spans="1:3" x14ac:dyDescent="0.25">
      <c r="A765" s="12"/>
      <c r="B765" s="12"/>
      <c r="C765"/>
    </row>
    <row r="766" spans="1:3" x14ac:dyDescent="0.25">
      <c r="A766" s="12"/>
      <c r="B766" s="12"/>
      <c r="C766"/>
    </row>
    <row r="767" spans="1:3" x14ac:dyDescent="0.25">
      <c r="A767" s="12"/>
      <c r="B767" s="12"/>
      <c r="C767"/>
    </row>
    <row r="768" spans="1:3" x14ac:dyDescent="0.25">
      <c r="A768" s="12"/>
      <c r="B768" s="12"/>
      <c r="C768"/>
    </row>
    <row r="769" spans="1:3" x14ac:dyDescent="0.25">
      <c r="A769" s="12"/>
      <c r="B769" s="12"/>
      <c r="C769"/>
    </row>
    <row r="770" spans="1:3" x14ac:dyDescent="0.25">
      <c r="A770" s="12"/>
      <c r="B770" s="12"/>
      <c r="C770"/>
    </row>
    <row r="771" spans="1:3" x14ac:dyDescent="0.25">
      <c r="A771" s="12"/>
      <c r="B771" s="12"/>
      <c r="C771"/>
    </row>
    <row r="772" spans="1:3" x14ac:dyDescent="0.25">
      <c r="A772" s="12"/>
      <c r="B772" s="12"/>
      <c r="C772"/>
    </row>
    <row r="773" spans="1:3" x14ac:dyDescent="0.25">
      <c r="A773" s="12"/>
      <c r="B773" s="12"/>
      <c r="C773"/>
    </row>
    <row r="774" spans="1:3" x14ac:dyDescent="0.25">
      <c r="A774" s="12"/>
      <c r="B774" s="12"/>
      <c r="C774"/>
    </row>
    <row r="775" spans="1:3" x14ac:dyDescent="0.25">
      <c r="A775" s="12"/>
      <c r="B775" s="12"/>
      <c r="C775"/>
    </row>
    <row r="776" spans="1:3" x14ac:dyDescent="0.25">
      <c r="A776" s="12"/>
      <c r="B776" s="12"/>
      <c r="C776"/>
    </row>
    <row r="777" spans="1:3" x14ac:dyDescent="0.25">
      <c r="A777" s="12"/>
      <c r="B777" s="12"/>
      <c r="C777"/>
    </row>
    <row r="778" spans="1:3" x14ac:dyDescent="0.25">
      <c r="A778" s="12"/>
      <c r="B778" s="12"/>
      <c r="C778"/>
    </row>
    <row r="779" spans="1:3" x14ac:dyDescent="0.25">
      <c r="A779" s="12"/>
      <c r="B779" s="12"/>
      <c r="C779"/>
    </row>
    <row r="780" spans="1:3" x14ac:dyDescent="0.25">
      <c r="A780" s="12"/>
      <c r="B780" s="12"/>
      <c r="C780"/>
    </row>
    <row r="781" spans="1:3" x14ac:dyDescent="0.25">
      <c r="A781" s="12"/>
      <c r="B781" s="12"/>
      <c r="C781"/>
    </row>
    <row r="782" spans="1:3" x14ac:dyDescent="0.25">
      <c r="A782" s="12"/>
      <c r="B782" s="12"/>
      <c r="C782"/>
    </row>
    <row r="783" spans="1:3" x14ac:dyDescent="0.25">
      <c r="A783" s="12"/>
      <c r="B783" s="12"/>
      <c r="C783"/>
    </row>
    <row r="784" spans="1:3" x14ac:dyDescent="0.25">
      <c r="A784" s="12"/>
      <c r="B784" s="12"/>
      <c r="C784"/>
    </row>
    <row r="785" spans="1:3" x14ac:dyDescent="0.25">
      <c r="A785" s="12"/>
      <c r="B785" s="12"/>
      <c r="C785"/>
    </row>
    <row r="786" spans="1:3" x14ac:dyDescent="0.25">
      <c r="A786" s="12"/>
      <c r="B786" s="12"/>
      <c r="C786"/>
    </row>
    <row r="787" spans="1:3" x14ac:dyDescent="0.25">
      <c r="A787" s="12"/>
      <c r="B787" s="12"/>
      <c r="C787"/>
    </row>
    <row r="788" spans="1:3" x14ac:dyDescent="0.25">
      <c r="A788" s="12"/>
      <c r="B788" s="12"/>
      <c r="C788"/>
    </row>
    <row r="789" spans="1:3" x14ac:dyDescent="0.25">
      <c r="A789" s="12"/>
      <c r="B789" s="12"/>
      <c r="C789"/>
    </row>
    <row r="790" spans="1:3" x14ac:dyDescent="0.25">
      <c r="A790" s="12"/>
      <c r="B790" s="12"/>
      <c r="C790"/>
    </row>
    <row r="791" spans="1:3" x14ac:dyDescent="0.25">
      <c r="A791" s="12"/>
      <c r="B791" s="12"/>
      <c r="C791"/>
    </row>
    <row r="792" spans="1:3" x14ac:dyDescent="0.25">
      <c r="A792" s="12"/>
      <c r="B792" s="12"/>
      <c r="C792"/>
    </row>
    <row r="793" spans="1:3" x14ac:dyDescent="0.25">
      <c r="A793" s="12"/>
      <c r="B793" s="12"/>
      <c r="C793"/>
    </row>
    <row r="794" spans="1:3" x14ac:dyDescent="0.25">
      <c r="A794" s="12"/>
      <c r="B794" s="12"/>
      <c r="C794"/>
    </row>
    <row r="795" spans="1:3" x14ac:dyDescent="0.25">
      <c r="A795" s="12"/>
      <c r="B795" s="12"/>
      <c r="C795"/>
    </row>
    <row r="796" spans="1:3" x14ac:dyDescent="0.25">
      <c r="A796" s="12"/>
      <c r="B796" s="12"/>
      <c r="C796"/>
    </row>
    <row r="797" spans="1:3" x14ac:dyDescent="0.25">
      <c r="A797" s="12"/>
      <c r="B797" s="12"/>
      <c r="C797"/>
    </row>
    <row r="798" spans="1:3" x14ac:dyDescent="0.25">
      <c r="A798" s="12"/>
      <c r="B798" s="12"/>
      <c r="C798"/>
    </row>
    <row r="799" spans="1:3" x14ac:dyDescent="0.25">
      <c r="A799" s="12"/>
      <c r="B799" s="12"/>
      <c r="C799"/>
    </row>
    <row r="800" spans="1:3" x14ac:dyDescent="0.25">
      <c r="A800" s="12"/>
      <c r="B800" s="12"/>
      <c r="C800"/>
    </row>
    <row r="801" spans="1:3" x14ac:dyDescent="0.25">
      <c r="A801" s="12"/>
      <c r="B801" s="12"/>
      <c r="C801"/>
    </row>
    <row r="802" spans="1:3" x14ac:dyDescent="0.25">
      <c r="A802" s="12"/>
      <c r="B802" s="12"/>
      <c r="C802"/>
    </row>
    <row r="803" spans="1:3" x14ac:dyDescent="0.25">
      <c r="A803" s="12"/>
      <c r="B803" s="12"/>
      <c r="C803"/>
    </row>
    <row r="804" spans="1:3" x14ac:dyDescent="0.25">
      <c r="A804" s="12"/>
      <c r="B804" s="12"/>
      <c r="C804"/>
    </row>
    <row r="805" spans="1:3" x14ac:dyDescent="0.25">
      <c r="A805" s="12"/>
      <c r="B805" s="12"/>
      <c r="C805"/>
    </row>
    <row r="806" spans="1:3" x14ac:dyDescent="0.25">
      <c r="A806" s="12"/>
      <c r="B806" s="12"/>
      <c r="C806"/>
    </row>
    <row r="807" spans="1:3" x14ac:dyDescent="0.25">
      <c r="A807" s="12"/>
      <c r="B807" s="12"/>
      <c r="C807"/>
    </row>
    <row r="808" spans="1:3" x14ac:dyDescent="0.25">
      <c r="A808" s="12"/>
      <c r="B808" s="12"/>
      <c r="C808"/>
    </row>
    <row r="809" spans="1:3" x14ac:dyDescent="0.25">
      <c r="A809" s="12"/>
      <c r="B809" s="12"/>
      <c r="C809"/>
    </row>
    <row r="810" spans="1:3" x14ac:dyDescent="0.25">
      <c r="A810" s="12"/>
      <c r="B810" s="12"/>
      <c r="C810"/>
    </row>
    <row r="811" spans="1:3" x14ac:dyDescent="0.25">
      <c r="A811" s="12"/>
      <c r="B811" s="12"/>
      <c r="C811"/>
    </row>
    <row r="812" spans="1:3" x14ac:dyDescent="0.25">
      <c r="A812" s="12"/>
      <c r="B812" s="12"/>
      <c r="C812"/>
    </row>
    <row r="813" spans="1:3" x14ac:dyDescent="0.25">
      <c r="A813" s="12"/>
      <c r="B813" s="12"/>
      <c r="C813"/>
    </row>
    <row r="814" spans="1:3" x14ac:dyDescent="0.25">
      <c r="A814" s="12"/>
      <c r="B814" s="12"/>
      <c r="C814"/>
    </row>
    <row r="815" spans="1:3" x14ac:dyDescent="0.25">
      <c r="A815" s="12"/>
      <c r="B815" s="12"/>
      <c r="C815"/>
    </row>
    <row r="816" spans="1:3" x14ac:dyDescent="0.25">
      <c r="A816" s="12"/>
      <c r="B816" s="12"/>
      <c r="C816"/>
    </row>
    <row r="817" spans="1:3" x14ac:dyDescent="0.25">
      <c r="A817" s="12"/>
      <c r="B817" s="12"/>
      <c r="C817"/>
    </row>
    <row r="818" spans="1:3" x14ac:dyDescent="0.25">
      <c r="A818" s="12"/>
      <c r="B818" s="12"/>
      <c r="C818"/>
    </row>
    <row r="819" spans="1:3" x14ac:dyDescent="0.25">
      <c r="A819" s="12"/>
      <c r="B819" s="12"/>
      <c r="C819"/>
    </row>
    <row r="820" spans="1:3" x14ac:dyDescent="0.25">
      <c r="A820" s="12"/>
      <c r="B820" s="12"/>
      <c r="C820"/>
    </row>
    <row r="821" spans="1:3" x14ac:dyDescent="0.25">
      <c r="A821" s="12"/>
      <c r="B821" s="12"/>
      <c r="C821"/>
    </row>
    <row r="822" spans="1:3" x14ac:dyDescent="0.25">
      <c r="A822" s="12"/>
      <c r="B822" s="12"/>
      <c r="C822"/>
    </row>
    <row r="823" spans="1:3" x14ac:dyDescent="0.25">
      <c r="A823" s="12"/>
      <c r="B823" s="12"/>
      <c r="C823"/>
    </row>
    <row r="824" spans="1:3" x14ac:dyDescent="0.25">
      <c r="A824" s="12"/>
      <c r="B824" s="12"/>
      <c r="C824"/>
    </row>
    <row r="825" spans="1:3" x14ac:dyDescent="0.25">
      <c r="A825" s="12"/>
      <c r="B825" s="12"/>
      <c r="C825"/>
    </row>
    <row r="826" spans="1:3" x14ac:dyDescent="0.25">
      <c r="A826" s="12"/>
      <c r="B826" s="12"/>
      <c r="C826"/>
    </row>
    <row r="827" spans="1:3" x14ac:dyDescent="0.25">
      <c r="A827" s="12"/>
      <c r="B827" s="12"/>
      <c r="C827"/>
    </row>
    <row r="828" spans="1:3" x14ac:dyDescent="0.25">
      <c r="A828" s="12"/>
      <c r="B828" s="12"/>
      <c r="C828"/>
    </row>
    <row r="829" spans="1:3" x14ac:dyDescent="0.25">
      <c r="A829" s="12"/>
      <c r="B829" s="12"/>
      <c r="C829"/>
    </row>
    <row r="830" spans="1:3" x14ac:dyDescent="0.25">
      <c r="A830" s="12"/>
      <c r="B830" s="12"/>
      <c r="C830"/>
    </row>
    <row r="831" spans="1:3" x14ac:dyDescent="0.25">
      <c r="A831" s="12"/>
      <c r="B831" s="12"/>
      <c r="C831"/>
    </row>
    <row r="832" spans="1:3" x14ac:dyDescent="0.25">
      <c r="A832" s="12"/>
      <c r="B832" s="12"/>
      <c r="C832"/>
    </row>
    <row r="833" spans="1:3" x14ac:dyDescent="0.25">
      <c r="A833" s="12"/>
      <c r="B833" s="12"/>
      <c r="C833"/>
    </row>
    <row r="834" spans="1:3" x14ac:dyDescent="0.25">
      <c r="A834" s="12"/>
      <c r="B834" s="12"/>
      <c r="C834"/>
    </row>
    <row r="835" spans="1:3" x14ac:dyDescent="0.25">
      <c r="A835" s="12"/>
      <c r="B835" s="12"/>
      <c r="C835"/>
    </row>
    <row r="836" spans="1:3" x14ac:dyDescent="0.25">
      <c r="A836" s="12"/>
      <c r="B836" s="12"/>
      <c r="C836"/>
    </row>
    <row r="837" spans="1:3" x14ac:dyDescent="0.25">
      <c r="A837" s="12"/>
      <c r="B837" s="12"/>
      <c r="C837"/>
    </row>
    <row r="838" spans="1:3" x14ac:dyDescent="0.25">
      <c r="A838" s="12"/>
      <c r="B838" s="12"/>
      <c r="C838"/>
    </row>
    <row r="839" spans="1:3" x14ac:dyDescent="0.25">
      <c r="A839" s="12"/>
      <c r="B839" s="12"/>
      <c r="C839"/>
    </row>
    <row r="840" spans="1:3" x14ac:dyDescent="0.25">
      <c r="A840" s="12"/>
      <c r="B840" s="12"/>
      <c r="C840"/>
    </row>
    <row r="841" spans="1:3" x14ac:dyDescent="0.25">
      <c r="A841" s="12"/>
      <c r="B841" s="12"/>
      <c r="C841"/>
    </row>
    <row r="842" spans="1:3" x14ac:dyDescent="0.25">
      <c r="A842" s="12"/>
      <c r="B842" s="12"/>
      <c r="C842"/>
    </row>
    <row r="843" spans="1:3" x14ac:dyDescent="0.25">
      <c r="A843" s="12"/>
      <c r="B843" s="12"/>
      <c r="C843"/>
    </row>
    <row r="844" spans="1:3" x14ac:dyDescent="0.25">
      <c r="A844" s="12"/>
      <c r="B844" s="12"/>
      <c r="C844"/>
    </row>
    <row r="845" spans="1:3" x14ac:dyDescent="0.25">
      <c r="A845" s="12"/>
      <c r="B845" s="12"/>
      <c r="C845"/>
    </row>
    <row r="846" spans="1:3" x14ac:dyDescent="0.25">
      <c r="A846" s="12"/>
      <c r="B846" s="12"/>
      <c r="C846"/>
    </row>
    <row r="847" spans="1:3" x14ac:dyDescent="0.25">
      <c r="A847" s="12"/>
      <c r="B847" s="12"/>
      <c r="C847"/>
    </row>
    <row r="848" spans="1:3" x14ac:dyDescent="0.25">
      <c r="A848" s="12"/>
      <c r="B848" s="12"/>
      <c r="C848"/>
    </row>
    <row r="849" spans="1:3" x14ac:dyDescent="0.25">
      <c r="A849" s="12"/>
      <c r="B849" s="12"/>
      <c r="C849"/>
    </row>
    <row r="850" spans="1:3" x14ac:dyDescent="0.25">
      <c r="A850" s="12"/>
      <c r="B850" s="12"/>
      <c r="C850"/>
    </row>
    <row r="851" spans="1:3" x14ac:dyDescent="0.25">
      <c r="A851" s="12"/>
      <c r="B851" s="12"/>
      <c r="C851"/>
    </row>
    <row r="852" spans="1:3" x14ac:dyDescent="0.25">
      <c r="A852" s="12"/>
      <c r="B852" s="12"/>
      <c r="C852"/>
    </row>
    <row r="853" spans="1:3" x14ac:dyDescent="0.25">
      <c r="A853" s="12"/>
      <c r="B853" s="12"/>
      <c r="C853"/>
    </row>
    <row r="854" spans="1:3" x14ac:dyDescent="0.25">
      <c r="A854" s="12"/>
      <c r="B854" s="12"/>
      <c r="C854"/>
    </row>
    <row r="855" spans="1:3" x14ac:dyDescent="0.25">
      <c r="A855" s="12"/>
      <c r="B855" s="12"/>
      <c r="C855"/>
    </row>
    <row r="856" spans="1:3" x14ac:dyDescent="0.25">
      <c r="A856" s="12"/>
      <c r="B856" s="12"/>
      <c r="C856"/>
    </row>
    <row r="857" spans="1:3" x14ac:dyDescent="0.25">
      <c r="A857" s="12"/>
      <c r="B857" s="12"/>
      <c r="C857"/>
    </row>
    <row r="858" spans="1:3" x14ac:dyDescent="0.25">
      <c r="A858" s="12"/>
      <c r="B858" s="12"/>
      <c r="C858"/>
    </row>
    <row r="859" spans="1:3" x14ac:dyDescent="0.25">
      <c r="A859" s="12"/>
      <c r="B859" s="12"/>
      <c r="C859"/>
    </row>
    <row r="860" spans="1:3" x14ac:dyDescent="0.25">
      <c r="A860" s="12"/>
      <c r="B860" s="12"/>
      <c r="C860"/>
    </row>
    <row r="861" spans="1:3" x14ac:dyDescent="0.25">
      <c r="A861" s="12"/>
      <c r="B861" s="12"/>
      <c r="C861"/>
    </row>
    <row r="862" spans="1:3" x14ac:dyDescent="0.25">
      <c r="A862" s="12"/>
      <c r="B862" s="12"/>
      <c r="C862"/>
    </row>
    <row r="863" spans="1:3" x14ac:dyDescent="0.25">
      <c r="A863" s="12"/>
      <c r="B863" s="12"/>
      <c r="C863"/>
    </row>
    <row r="864" spans="1:3" x14ac:dyDescent="0.25">
      <c r="A864" s="12"/>
      <c r="B864" s="12"/>
      <c r="C864"/>
    </row>
    <row r="865" spans="1:3" x14ac:dyDescent="0.25">
      <c r="A865" s="12"/>
      <c r="B865" s="12"/>
      <c r="C865"/>
    </row>
    <row r="866" spans="1:3" x14ac:dyDescent="0.25">
      <c r="A866" s="12"/>
      <c r="B866" s="12"/>
      <c r="C866"/>
    </row>
    <row r="867" spans="1:3" x14ac:dyDescent="0.25">
      <c r="A867" s="12"/>
      <c r="B867" s="12"/>
      <c r="C867"/>
    </row>
    <row r="868" spans="1:3" x14ac:dyDescent="0.25">
      <c r="A868" s="12"/>
      <c r="B868" s="12"/>
      <c r="C868"/>
    </row>
    <row r="869" spans="1:3" x14ac:dyDescent="0.25">
      <c r="A869" s="12"/>
      <c r="B869" s="12"/>
      <c r="C869"/>
    </row>
    <row r="870" spans="1:3" x14ac:dyDescent="0.25">
      <c r="A870" s="12"/>
      <c r="B870" s="12"/>
      <c r="C870"/>
    </row>
    <row r="871" spans="1:3" x14ac:dyDescent="0.25">
      <c r="A871" s="12"/>
      <c r="B871" s="12"/>
      <c r="C871"/>
    </row>
    <row r="872" spans="1:3" x14ac:dyDescent="0.25">
      <c r="A872" s="12"/>
      <c r="B872" s="12"/>
      <c r="C872"/>
    </row>
    <row r="873" spans="1:3" x14ac:dyDescent="0.25">
      <c r="A873" s="12"/>
      <c r="B873" s="12"/>
      <c r="C873"/>
    </row>
    <row r="874" spans="1:3" x14ac:dyDescent="0.25">
      <c r="A874" s="12"/>
      <c r="B874" s="12"/>
      <c r="C874"/>
    </row>
    <row r="875" spans="1:3" x14ac:dyDescent="0.25">
      <c r="A875" s="12"/>
      <c r="B875" s="12"/>
      <c r="C875"/>
    </row>
    <row r="876" spans="1:3" x14ac:dyDescent="0.25">
      <c r="A876" s="12"/>
      <c r="B876" s="12"/>
      <c r="C876"/>
    </row>
    <row r="877" spans="1:3" x14ac:dyDescent="0.25">
      <c r="A877" s="12"/>
      <c r="B877" s="12"/>
      <c r="C877"/>
    </row>
    <row r="878" spans="1:3" x14ac:dyDescent="0.25">
      <c r="A878" s="12"/>
      <c r="B878" s="12"/>
      <c r="C878"/>
    </row>
    <row r="879" spans="1:3" x14ac:dyDescent="0.25">
      <c r="A879" s="12"/>
      <c r="B879" s="12"/>
      <c r="C879"/>
    </row>
    <row r="880" spans="1:3" x14ac:dyDescent="0.25">
      <c r="A880" s="12"/>
      <c r="B880" s="12"/>
      <c r="C880"/>
    </row>
    <row r="881" spans="1:3" x14ac:dyDescent="0.25">
      <c r="A881" s="12"/>
      <c r="B881" s="12"/>
      <c r="C881"/>
    </row>
    <row r="882" spans="1:3" x14ac:dyDescent="0.25">
      <c r="A882" s="12"/>
      <c r="B882" s="12"/>
      <c r="C882"/>
    </row>
    <row r="883" spans="1:3" x14ac:dyDescent="0.25">
      <c r="A883" s="12"/>
      <c r="B883" s="12"/>
      <c r="C883"/>
    </row>
    <row r="884" spans="1:3" x14ac:dyDescent="0.25">
      <c r="A884" s="12"/>
      <c r="B884" s="12"/>
      <c r="C884"/>
    </row>
    <row r="885" spans="1:3" x14ac:dyDescent="0.25">
      <c r="A885" s="12"/>
      <c r="B885" s="12"/>
      <c r="C885"/>
    </row>
    <row r="886" spans="1:3" x14ac:dyDescent="0.25">
      <c r="A886" s="12"/>
      <c r="B886" s="12"/>
      <c r="C886"/>
    </row>
    <row r="887" spans="1:3" x14ac:dyDescent="0.25">
      <c r="A887" s="12"/>
      <c r="B887" s="12"/>
      <c r="C887"/>
    </row>
    <row r="888" spans="1:3" x14ac:dyDescent="0.25">
      <c r="A888" s="12"/>
      <c r="B888" s="12"/>
      <c r="C888"/>
    </row>
    <row r="889" spans="1:3" x14ac:dyDescent="0.25">
      <c r="A889" s="12"/>
      <c r="B889" s="12"/>
      <c r="C889"/>
    </row>
    <row r="890" spans="1:3" x14ac:dyDescent="0.25">
      <c r="A890" s="12"/>
      <c r="B890" s="12"/>
      <c r="C890"/>
    </row>
    <row r="891" spans="1:3" x14ac:dyDescent="0.25">
      <c r="A891" s="12"/>
      <c r="B891" s="12"/>
      <c r="C891"/>
    </row>
    <row r="892" spans="1:3" x14ac:dyDescent="0.25">
      <c r="A892" s="12"/>
      <c r="B892" s="12"/>
      <c r="C892"/>
    </row>
    <row r="893" spans="1:3" x14ac:dyDescent="0.25">
      <c r="A893" s="12"/>
      <c r="B893" s="12"/>
      <c r="C893"/>
    </row>
    <row r="894" spans="1:3" x14ac:dyDescent="0.25">
      <c r="A894" s="12"/>
      <c r="B894" s="12"/>
      <c r="C894"/>
    </row>
    <row r="895" spans="1:3" x14ac:dyDescent="0.25">
      <c r="A895" s="12"/>
      <c r="B895" s="12"/>
      <c r="C895"/>
    </row>
    <row r="896" spans="1:3" x14ac:dyDescent="0.25">
      <c r="A896" s="12"/>
      <c r="B896" s="12"/>
      <c r="C896"/>
    </row>
    <row r="897" spans="1:3" x14ac:dyDescent="0.25">
      <c r="A897" s="12"/>
      <c r="B897" s="12"/>
      <c r="C897"/>
    </row>
    <row r="898" spans="1:3" x14ac:dyDescent="0.25">
      <c r="A898" s="12"/>
      <c r="B898" s="12"/>
      <c r="C898"/>
    </row>
    <row r="899" spans="1:3" x14ac:dyDescent="0.25">
      <c r="A899" s="12"/>
      <c r="B899" s="12"/>
      <c r="C899"/>
    </row>
    <row r="900" spans="1:3" x14ac:dyDescent="0.25">
      <c r="A900" s="12"/>
      <c r="B900" s="12"/>
      <c r="C900"/>
    </row>
    <row r="901" spans="1:3" x14ac:dyDescent="0.25">
      <c r="A901" s="12"/>
      <c r="B901" s="12"/>
      <c r="C901"/>
    </row>
    <row r="902" spans="1:3" x14ac:dyDescent="0.25">
      <c r="A902" s="12"/>
      <c r="B902" s="12"/>
      <c r="C902"/>
    </row>
    <row r="903" spans="1:3" x14ac:dyDescent="0.25">
      <c r="A903" s="12"/>
      <c r="B903" s="12"/>
      <c r="C903"/>
    </row>
    <row r="904" spans="1:3" x14ac:dyDescent="0.25">
      <c r="A904" s="12"/>
      <c r="B904" s="12"/>
      <c r="C904"/>
    </row>
    <row r="905" spans="1:3" x14ac:dyDescent="0.25">
      <c r="A905" s="12"/>
      <c r="B905" s="12"/>
      <c r="C905"/>
    </row>
    <row r="906" spans="1:3" x14ac:dyDescent="0.25">
      <c r="A906" s="12"/>
      <c r="B906" s="12"/>
      <c r="C906"/>
    </row>
    <row r="907" spans="1:3" x14ac:dyDescent="0.25">
      <c r="A907" s="12"/>
      <c r="B907" s="12"/>
      <c r="C907"/>
    </row>
    <row r="908" spans="1:3" x14ac:dyDescent="0.25">
      <c r="A908" s="12"/>
      <c r="B908" s="12"/>
      <c r="C908"/>
    </row>
    <row r="909" spans="1:3" x14ac:dyDescent="0.25">
      <c r="A909" s="12"/>
      <c r="B909" s="12"/>
      <c r="C909"/>
    </row>
    <row r="910" spans="1:3" x14ac:dyDescent="0.25">
      <c r="A910" s="12"/>
      <c r="B910" s="12"/>
      <c r="C910"/>
    </row>
    <row r="911" spans="1:3" x14ac:dyDescent="0.25">
      <c r="A911" s="12"/>
      <c r="B911" s="12"/>
      <c r="C911"/>
    </row>
    <row r="912" spans="1:3" x14ac:dyDescent="0.25">
      <c r="A912" s="12"/>
      <c r="B912" s="12"/>
      <c r="C912"/>
    </row>
    <row r="913" spans="1:3" x14ac:dyDescent="0.25">
      <c r="A913" s="12"/>
      <c r="B913" s="12"/>
      <c r="C913"/>
    </row>
    <row r="914" spans="1:3" x14ac:dyDescent="0.25">
      <c r="A914" s="12"/>
      <c r="B914" s="12"/>
      <c r="C914"/>
    </row>
    <row r="915" spans="1:3" x14ac:dyDescent="0.25">
      <c r="A915" s="12"/>
      <c r="B915" s="12"/>
      <c r="C915"/>
    </row>
    <row r="916" spans="1:3" x14ac:dyDescent="0.25">
      <c r="A916" s="12"/>
      <c r="B916" s="12"/>
      <c r="C916"/>
    </row>
    <row r="917" spans="1:3" x14ac:dyDescent="0.25">
      <c r="A917" s="12"/>
      <c r="B917" s="12"/>
      <c r="C917"/>
    </row>
    <row r="918" spans="1:3" x14ac:dyDescent="0.25">
      <c r="A918" s="12"/>
      <c r="B918" s="12"/>
      <c r="C918"/>
    </row>
    <row r="919" spans="1:3" x14ac:dyDescent="0.25">
      <c r="A919" s="12"/>
      <c r="B919" s="12"/>
      <c r="C919"/>
    </row>
    <row r="920" spans="1:3" x14ac:dyDescent="0.25">
      <c r="A920" s="12"/>
      <c r="B920" s="12"/>
      <c r="C920"/>
    </row>
    <row r="921" spans="1:3" x14ac:dyDescent="0.25">
      <c r="A921" s="12"/>
      <c r="B921" s="12"/>
      <c r="C921"/>
    </row>
    <row r="922" spans="1:3" x14ac:dyDescent="0.25">
      <c r="A922" s="12"/>
      <c r="B922" s="12"/>
      <c r="C922"/>
    </row>
    <row r="923" spans="1:3" x14ac:dyDescent="0.25">
      <c r="A923" s="12"/>
      <c r="B923" s="12"/>
      <c r="C923"/>
    </row>
    <row r="924" spans="1:3" x14ac:dyDescent="0.25">
      <c r="A924" s="12"/>
      <c r="B924" s="12"/>
      <c r="C924"/>
    </row>
    <row r="925" spans="1:3" x14ac:dyDescent="0.25">
      <c r="A925" s="12"/>
      <c r="B925" s="12"/>
      <c r="C925"/>
    </row>
    <row r="926" spans="1:3" x14ac:dyDescent="0.25">
      <c r="A926" s="12"/>
      <c r="B926" s="12"/>
      <c r="C926"/>
    </row>
    <row r="927" spans="1:3" x14ac:dyDescent="0.25">
      <c r="A927" s="12"/>
      <c r="B927" s="12"/>
      <c r="C927"/>
    </row>
    <row r="928" spans="1:3" x14ac:dyDescent="0.25">
      <c r="A928" s="12"/>
      <c r="B928" s="12"/>
      <c r="C928"/>
    </row>
    <row r="929" spans="1:3" x14ac:dyDescent="0.25">
      <c r="A929" s="12"/>
      <c r="B929" s="12"/>
      <c r="C929"/>
    </row>
    <row r="930" spans="1:3" x14ac:dyDescent="0.25">
      <c r="A930" s="12"/>
      <c r="B930" s="12"/>
      <c r="C930"/>
    </row>
    <row r="931" spans="1:3" x14ac:dyDescent="0.25">
      <c r="A931" s="12"/>
      <c r="B931" s="12"/>
      <c r="C931"/>
    </row>
    <row r="932" spans="1:3" x14ac:dyDescent="0.25">
      <c r="A932" s="12"/>
      <c r="B932" s="12"/>
      <c r="C932"/>
    </row>
    <row r="933" spans="1:3" x14ac:dyDescent="0.25">
      <c r="A933" s="12"/>
      <c r="B933" s="12"/>
      <c r="C933"/>
    </row>
    <row r="934" spans="1:3" x14ac:dyDescent="0.25">
      <c r="A934" s="12"/>
      <c r="B934" s="12"/>
      <c r="C934"/>
    </row>
    <row r="935" spans="1:3" x14ac:dyDescent="0.25">
      <c r="A935" s="12"/>
      <c r="B935" s="12"/>
      <c r="C935"/>
    </row>
    <row r="936" spans="1:3" x14ac:dyDescent="0.25">
      <c r="A936" s="12"/>
      <c r="B936" s="12"/>
      <c r="C936"/>
    </row>
    <row r="937" spans="1:3" x14ac:dyDescent="0.25">
      <c r="A937" s="12"/>
      <c r="B937" s="12"/>
      <c r="C937"/>
    </row>
    <row r="938" spans="1:3" x14ac:dyDescent="0.25">
      <c r="A938" s="12"/>
      <c r="B938" s="12"/>
      <c r="C938"/>
    </row>
    <row r="939" spans="1:3" x14ac:dyDescent="0.25">
      <c r="A939" s="12"/>
      <c r="B939" s="12"/>
      <c r="C939"/>
    </row>
    <row r="940" spans="1:3" x14ac:dyDescent="0.25">
      <c r="A940" s="12"/>
      <c r="B940" s="12"/>
      <c r="C940"/>
    </row>
    <row r="941" spans="1:3" x14ac:dyDescent="0.25">
      <c r="A941" s="12"/>
      <c r="B941" s="12"/>
      <c r="C941"/>
    </row>
    <row r="942" spans="1:3" x14ac:dyDescent="0.25">
      <c r="A942" s="12"/>
      <c r="B942" s="12"/>
      <c r="C942"/>
    </row>
    <row r="943" spans="1:3" x14ac:dyDescent="0.25">
      <c r="A943" s="12"/>
      <c r="B943" s="12"/>
      <c r="C943"/>
    </row>
    <row r="944" spans="1:3" x14ac:dyDescent="0.25">
      <c r="A944" s="12"/>
      <c r="B944" s="12"/>
      <c r="C944"/>
    </row>
    <row r="945" spans="1:3" x14ac:dyDescent="0.25">
      <c r="A945" s="12"/>
      <c r="B945" s="12"/>
      <c r="C945"/>
    </row>
    <row r="946" spans="1:3" x14ac:dyDescent="0.25">
      <c r="A946" s="12"/>
      <c r="B946" s="12"/>
      <c r="C946"/>
    </row>
    <row r="947" spans="1:3" x14ac:dyDescent="0.25">
      <c r="A947" s="12"/>
      <c r="B947" s="12"/>
      <c r="C947"/>
    </row>
    <row r="948" spans="1:3" x14ac:dyDescent="0.25">
      <c r="A948" s="12"/>
      <c r="B948" s="12"/>
      <c r="C948"/>
    </row>
    <row r="949" spans="1:3" x14ac:dyDescent="0.25">
      <c r="A949" s="12"/>
      <c r="B949" s="12"/>
      <c r="C949"/>
    </row>
    <row r="950" spans="1:3" x14ac:dyDescent="0.25">
      <c r="A950" s="12"/>
      <c r="B950" s="12"/>
      <c r="C950"/>
    </row>
    <row r="951" spans="1:3" x14ac:dyDescent="0.25">
      <c r="A951" s="12"/>
      <c r="B951" s="12"/>
      <c r="C951"/>
    </row>
    <row r="952" spans="1:3" x14ac:dyDescent="0.25">
      <c r="A952" s="12"/>
      <c r="B952" s="12"/>
      <c r="C952"/>
    </row>
    <row r="953" spans="1:3" x14ac:dyDescent="0.25">
      <c r="A953" s="12"/>
      <c r="B953" s="12"/>
      <c r="C953"/>
    </row>
    <row r="954" spans="1:3" x14ac:dyDescent="0.25">
      <c r="A954" s="12"/>
      <c r="B954" s="12"/>
      <c r="C954"/>
    </row>
    <row r="955" spans="1:3" x14ac:dyDescent="0.25">
      <c r="A955" s="12"/>
      <c r="B955" s="12"/>
      <c r="C955"/>
    </row>
    <row r="956" spans="1:3" x14ac:dyDescent="0.25">
      <c r="A956" s="12"/>
      <c r="B956" s="12"/>
      <c r="C956"/>
    </row>
    <row r="957" spans="1:3" x14ac:dyDescent="0.25">
      <c r="A957" s="12"/>
      <c r="B957" s="12"/>
      <c r="C957"/>
    </row>
    <row r="958" spans="1:3" x14ac:dyDescent="0.25">
      <c r="A958" s="12"/>
      <c r="B958" s="12"/>
      <c r="C958"/>
    </row>
    <row r="959" spans="1:3" x14ac:dyDescent="0.25">
      <c r="A959" s="12"/>
      <c r="B959" s="12"/>
      <c r="C959"/>
    </row>
    <row r="960" spans="1:3" x14ac:dyDescent="0.25">
      <c r="A960" s="12"/>
      <c r="B960" s="12"/>
      <c r="C960"/>
    </row>
    <row r="961" spans="1:3" x14ac:dyDescent="0.25">
      <c r="A961" s="12"/>
      <c r="B961" s="12"/>
      <c r="C961"/>
    </row>
    <row r="962" spans="1:3" x14ac:dyDescent="0.25">
      <c r="A962" s="12"/>
      <c r="B962" s="12"/>
      <c r="C962"/>
    </row>
    <row r="963" spans="1:3" x14ac:dyDescent="0.25">
      <c r="A963" s="12"/>
      <c r="B963" s="12"/>
      <c r="C963"/>
    </row>
    <row r="964" spans="1:3" x14ac:dyDescent="0.25">
      <c r="A964" s="12"/>
      <c r="B964" s="12"/>
      <c r="C964"/>
    </row>
    <row r="965" spans="1:3" x14ac:dyDescent="0.25">
      <c r="A965" s="12"/>
      <c r="B965" s="12"/>
      <c r="C965"/>
    </row>
    <row r="966" spans="1:3" x14ac:dyDescent="0.25">
      <c r="A966" s="12"/>
      <c r="B966" s="12"/>
      <c r="C966"/>
    </row>
    <row r="967" spans="1:3" x14ac:dyDescent="0.25">
      <c r="A967" s="12"/>
      <c r="B967" s="12"/>
      <c r="C967"/>
    </row>
    <row r="968" spans="1:3" x14ac:dyDescent="0.25">
      <c r="A968" s="12"/>
      <c r="B968" s="12"/>
      <c r="C968"/>
    </row>
    <row r="969" spans="1:3" x14ac:dyDescent="0.25">
      <c r="A969" s="12"/>
      <c r="B969" s="12"/>
      <c r="C969"/>
    </row>
    <row r="970" spans="1:3" x14ac:dyDescent="0.25">
      <c r="A970" s="12"/>
      <c r="B970" s="12"/>
      <c r="C970"/>
    </row>
    <row r="971" spans="1:3" x14ac:dyDescent="0.25">
      <c r="A971" s="12"/>
      <c r="B971" s="12"/>
      <c r="C971"/>
    </row>
    <row r="972" spans="1:3" x14ac:dyDescent="0.25">
      <c r="A972" s="12"/>
      <c r="B972" s="12"/>
      <c r="C972"/>
    </row>
    <row r="973" spans="1:3" x14ac:dyDescent="0.25">
      <c r="A973" s="12"/>
      <c r="B973" s="12"/>
      <c r="C973"/>
    </row>
    <row r="974" spans="1:3" x14ac:dyDescent="0.25">
      <c r="A974" s="12"/>
      <c r="B974" s="12"/>
      <c r="C974"/>
    </row>
    <row r="975" spans="1:3" x14ac:dyDescent="0.25">
      <c r="A975" s="12"/>
      <c r="B975" s="12"/>
      <c r="C975"/>
    </row>
    <row r="976" spans="1:3" x14ac:dyDescent="0.25">
      <c r="A976" s="12"/>
      <c r="B976" s="12"/>
      <c r="C976"/>
    </row>
    <row r="977" spans="1:3" x14ac:dyDescent="0.25">
      <c r="A977" s="12"/>
      <c r="B977" s="12"/>
      <c r="C977"/>
    </row>
    <row r="978" spans="1:3" x14ac:dyDescent="0.25">
      <c r="A978" s="12"/>
      <c r="B978" s="12"/>
      <c r="C978"/>
    </row>
    <row r="979" spans="1:3" x14ac:dyDescent="0.25">
      <c r="A979" s="12"/>
      <c r="B979" s="12"/>
      <c r="C979"/>
    </row>
    <row r="980" spans="1:3" x14ac:dyDescent="0.25">
      <c r="A980" s="12"/>
      <c r="B980" s="12"/>
      <c r="C980"/>
    </row>
    <row r="981" spans="1:3" x14ac:dyDescent="0.25">
      <c r="A981" s="12"/>
      <c r="B981" s="12"/>
      <c r="C981"/>
    </row>
    <row r="982" spans="1:3" x14ac:dyDescent="0.25">
      <c r="A982" s="12"/>
      <c r="B982" s="12"/>
      <c r="C982"/>
    </row>
    <row r="983" spans="1:3" x14ac:dyDescent="0.25">
      <c r="A983" s="12"/>
      <c r="B983" s="12"/>
      <c r="C983"/>
    </row>
    <row r="984" spans="1:3" x14ac:dyDescent="0.25">
      <c r="A984" s="12"/>
      <c r="B984" s="12"/>
      <c r="C984"/>
    </row>
    <row r="985" spans="1:3" x14ac:dyDescent="0.25">
      <c r="A985" s="12"/>
      <c r="B985" s="12"/>
      <c r="C985"/>
    </row>
    <row r="986" spans="1:3" x14ac:dyDescent="0.25">
      <c r="A986" s="12"/>
      <c r="B986" s="12"/>
      <c r="C986"/>
    </row>
    <row r="987" spans="1:3" x14ac:dyDescent="0.25">
      <c r="A987" s="12"/>
      <c r="B987" s="12"/>
      <c r="C987"/>
    </row>
    <row r="988" spans="1:3" x14ac:dyDescent="0.25">
      <c r="A988" s="12"/>
      <c r="B988" s="12"/>
      <c r="C988"/>
    </row>
    <row r="989" spans="1:3" x14ac:dyDescent="0.25">
      <c r="A989" s="12"/>
      <c r="B989" s="12"/>
      <c r="C989"/>
    </row>
    <row r="990" spans="1:3" x14ac:dyDescent="0.25">
      <c r="A990" s="12"/>
      <c r="B990" s="12"/>
      <c r="C990"/>
    </row>
    <row r="991" spans="1:3" x14ac:dyDescent="0.25">
      <c r="A991" s="12"/>
      <c r="B991" s="12"/>
      <c r="C991"/>
    </row>
    <row r="992" spans="1:3" x14ac:dyDescent="0.25">
      <c r="A992" s="12"/>
      <c r="B992" s="12"/>
      <c r="C992"/>
    </row>
    <row r="993" spans="1:3" x14ac:dyDescent="0.25">
      <c r="A993" s="12"/>
      <c r="B993" s="12"/>
      <c r="C993"/>
    </row>
    <row r="994" spans="1:3" x14ac:dyDescent="0.25">
      <c r="A994" s="12"/>
      <c r="B994" s="12"/>
      <c r="C994"/>
    </row>
    <row r="995" spans="1:3" x14ac:dyDescent="0.25">
      <c r="A995" s="12"/>
      <c r="B995" s="12"/>
      <c r="C995"/>
    </row>
    <row r="996" spans="1:3" x14ac:dyDescent="0.25">
      <c r="A996" s="12"/>
      <c r="B996" s="12"/>
      <c r="C996"/>
    </row>
    <row r="997" spans="1:3" x14ac:dyDescent="0.25">
      <c r="A997" s="12"/>
      <c r="B997" s="12"/>
      <c r="C997"/>
    </row>
    <row r="998" spans="1:3" x14ac:dyDescent="0.25">
      <c r="A998" s="12"/>
      <c r="B998" s="12"/>
      <c r="C998"/>
    </row>
    <row r="999" spans="1:3" x14ac:dyDescent="0.25">
      <c r="A999" s="12"/>
      <c r="B999" s="12"/>
      <c r="C999"/>
    </row>
    <row r="1000" spans="1:3" x14ac:dyDescent="0.25">
      <c r="A1000" s="12"/>
      <c r="B1000" s="12"/>
      <c r="C1000"/>
    </row>
    <row r="1001" spans="1:3" x14ac:dyDescent="0.25">
      <c r="A1001" s="12"/>
      <c r="B1001" s="12"/>
      <c r="C1001"/>
    </row>
    <row r="1002" spans="1:3" x14ac:dyDescent="0.25">
      <c r="A1002" s="12"/>
      <c r="B1002" s="12"/>
      <c r="C1002"/>
    </row>
    <row r="1003" spans="1:3" x14ac:dyDescent="0.25">
      <c r="A1003" s="12"/>
      <c r="B1003" s="12"/>
      <c r="C1003"/>
    </row>
    <row r="1004" spans="1:3" x14ac:dyDescent="0.25">
      <c r="A1004" s="12"/>
      <c r="B1004" s="12"/>
      <c r="C1004"/>
    </row>
    <row r="1005" spans="1:3" x14ac:dyDescent="0.25">
      <c r="A1005" s="12"/>
      <c r="B1005" s="12"/>
      <c r="C1005"/>
    </row>
    <row r="1006" spans="1:3" x14ac:dyDescent="0.25">
      <c r="A1006" s="12"/>
      <c r="B1006" s="12"/>
      <c r="C1006"/>
    </row>
    <row r="1007" spans="1:3" x14ac:dyDescent="0.25">
      <c r="A1007" s="12"/>
      <c r="B1007" s="12"/>
      <c r="C1007"/>
    </row>
    <row r="1008" spans="1:3" x14ac:dyDescent="0.25">
      <c r="A1008" s="12"/>
      <c r="B1008" s="12"/>
      <c r="C1008"/>
    </row>
    <row r="1009" spans="1:3" x14ac:dyDescent="0.25">
      <c r="A1009" s="12"/>
      <c r="B1009" s="12"/>
      <c r="C1009"/>
    </row>
    <row r="1010" spans="1:3" x14ac:dyDescent="0.25">
      <c r="A1010" s="12"/>
      <c r="B1010" s="12"/>
      <c r="C1010"/>
    </row>
    <row r="1011" spans="1:3" x14ac:dyDescent="0.25">
      <c r="A1011" s="12"/>
      <c r="B1011" s="12"/>
      <c r="C1011"/>
    </row>
    <row r="1012" spans="1:3" x14ac:dyDescent="0.25">
      <c r="A1012" s="12"/>
      <c r="B1012" s="12"/>
      <c r="C1012"/>
    </row>
    <row r="1013" spans="1:3" x14ac:dyDescent="0.25">
      <c r="A1013" s="12"/>
      <c r="B1013" s="12"/>
      <c r="C1013"/>
    </row>
    <row r="1014" spans="1:3" x14ac:dyDescent="0.25">
      <c r="A1014" s="12"/>
      <c r="B1014" s="12"/>
      <c r="C1014"/>
    </row>
    <row r="1015" spans="1:3" x14ac:dyDescent="0.25">
      <c r="A1015" s="12"/>
      <c r="B1015" s="12"/>
      <c r="C1015"/>
    </row>
    <row r="1016" spans="1:3" x14ac:dyDescent="0.25">
      <c r="A1016" s="12"/>
      <c r="B1016" s="12"/>
      <c r="C1016"/>
    </row>
    <row r="1017" spans="1:3" x14ac:dyDescent="0.25">
      <c r="A1017" s="12"/>
      <c r="B1017" s="12"/>
      <c r="C1017"/>
    </row>
    <row r="1018" spans="1:3" x14ac:dyDescent="0.25">
      <c r="A1018" s="12"/>
      <c r="B1018" s="12"/>
      <c r="C1018"/>
    </row>
    <row r="1019" spans="1:3" x14ac:dyDescent="0.25">
      <c r="A1019" s="12"/>
      <c r="B1019" s="12"/>
      <c r="C1019"/>
    </row>
    <row r="1020" spans="1:3" x14ac:dyDescent="0.25">
      <c r="A1020" s="12"/>
      <c r="B1020" s="12"/>
      <c r="C1020"/>
    </row>
    <row r="1021" spans="1:3" x14ac:dyDescent="0.25">
      <c r="A1021" s="12"/>
      <c r="B1021" s="12"/>
      <c r="C1021"/>
    </row>
    <row r="1022" spans="1:3" x14ac:dyDescent="0.25">
      <c r="A1022" s="12"/>
      <c r="B1022" s="12"/>
      <c r="C1022"/>
    </row>
    <row r="1023" spans="1:3" x14ac:dyDescent="0.25">
      <c r="A1023" s="12"/>
      <c r="B1023" s="12"/>
      <c r="C1023"/>
    </row>
    <row r="1024" spans="1:3" x14ac:dyDescent="0.25">
      <c r="A1024" s="12"/>
      <c r="B1024" s="12"/>
      <c r="C1024"/>
    </row>
    <row r="1025" spans="1:3" x14ac:dyDescent="0.25">
      <c r="A1025" s="12"/>
      <c r="B1025" s="12"/>
      <c r="C1025"/>
    </row>
    <row r="1026" spans="1:3" x14ac:dyDescent="0.25">
      <c r="A1026" s="12"/>
      <c r="B1026" s="12"/>
      <c r="C1026"/>
    </row>
    <row r="1027" spans="1:3" x14ac:dyDescent="0.25">
      <c r="A1027" s="12"/>
      <c r="B1027" s="12"/>
      <c r="C1027"/>
    </row>
    <row r="1028" spans="1:3" x14ac:dyDescent="0.25">
      <c r="A1028" s="12"/>
      <c r="B1028" s="12"/>
      <c r="C1028"/>
    </row>
    <row r="1029" spans="1:3" x14ac:dyDescent="0.25">
      <c r="A1029" s="12"/>
      <c r="B1029" s="12"/>
      <c r="C1029"/>
    </row>
    <row r="1030" spans="1:3" x14ac:dyDescent="0.25">
      <c r="A1030" s="12"/>
      <c r="B1030" s="12"/>
      <c r="C1030"/>
    </row>
    <row r="1031" spans="1:3" x14ac:dyDescent="0.25">
      <c r="A1031" s="12"/>
      <c r="B1031" s="12"/>
      <c r="C1031"/>
    </row>
    <row r="1032" spans="1:3" x14ac:dyDescent="0.25">
      <c r="A1032" s="12"/>
      <c r="B1032" s="12"/>
      <c r="C1032"/>
    </row>
    <row r="1033" spans="1:3" x14ac:dyDescent="0.25">
      <c r="A1033" s="12"/>
      <c r="B1033" s="12"/>
      <c r="C1033"/>
    </row>
    <row r="1034" spans="1:3" x14ac:dyDescent="0.25">
      <c r="A1034" s="12"/>
      <c r="B1034" s="12"/>
      <c r="C1034"/>
    </row>
    <row r="1035" spans="1:3" x14ac:dyDescent="0.25">
      <c r="A1035" s="12"/>
      <c r="B1035" s="12"/>
      <c r="C1035"/>
    </row>
    <row r="1036" spans="1:3" x14ac:dyDescent="0.25">
      <c r="A1036" s="12"/>
      <c r="B1036" s="12"/>
      <c r="C1036"/>
    </row>
    <row r="1037" spans="1:3" x14ac:dyDescent="0.25">
      <c r="A1037" s="12"/>
      <c r="B1037" s="12"/>
      <c r="C1037"/>
    </row>
    <row r="1038" spans="1:3" x14ac:dyDescent="0.25">
      <c r="A1038" s="12"/>
      <c r="B1038" s="12"/>
      <c r="C1038"/>
    </row>
    <row r="1039" spans="1:3" x14ac:dyDescent="0.25">
      <c r="A1039" s="12"/>
      <c r="B1039" s="12"/>
      <c r="C1039"/>
    </row>
    <row r="1040" spans="1:3" x14ac:dyDescent="0.25">
      <c r="A1040" s="12"/>
      <c r="B1040" s="12"/>
      <c r="C1040"/>
    </row>
    <row r="1041" spans="1:3" x14ac:dyDescent="0.25">
      <c r="A1041" s="12"/>
      <c r="B1041" s="12"/>
      <c r="C1041"/>
    </row>
    <row r="1042" spans="1:3" x14ac:dyDescent="0.25">
      <c r="A1042" s="12"/>
      <c r="B1042" s="12"/>
      <c r="C1042"/>
    </row>
    <row r="1043" spans="1:3" x14ac:dyDescent="0.25">
      <c r="A1043" s="12"/>
      <c r="B1043" s="12"/>
      <c r="C1043"/>
    </row>
    <row r="1044" spans="1:3" x14ac:dyDescent="0.25">
      <c r="A1044" s="12"/>
      <c r="B1044" s="12"/>
      <c r="C1044"/>
    </row>
    <row r="1045" spans="1:3" x14ac:dyDescent="0.25">
      <c r="A1045" s="12"/>
      <c r="B1045" s="12"/>
      <c r="C1045"/>
    </row>
    <row r="1046" spans="1:3" x14ac:dyDescent="0.25">
      <c r="A1046" s="12"/>
      <c r="B1046" s="12"/>
      <c r="C1046"/>
    </row>
    <row r="1047" spans="1:3" x14ac:dyDescent="0.25">
      <c r="A1047" s="12"/>
      <c r="B1047" s="12"/>
      <c r="C1047"/>
    </row>
    <row r="1048" spans="1:3" x14ac:dyDescent="0.25">
      <c r="A1048" s="12"/>
      <c r="B1048" s="12"/>
      <c r="C1048"/>
    </row>
    <row r="1049" spans="1:3" x14ac:dyDescent="0.25">
      <c r="A1049" s="12"/>
      <c r="B1049" s="12"/>
      <c r="C1049"/>
    </row>
    <row r="1050" spans="1:3" x14ac:dyDescent="0.25">
      <c r="A1050" s="12"/>
      <c r="B1050" s="12"/>
      <c r="C1050"/>
    </row>
    <row r="1051" spans="1:3" x14ac:dyDescent="0.25">
      <c r="A1051" s="12"/>
      <c r="B1051" s="12"/>
      <c r="C1051"/>
    </row>
    <row r="1052" spans="1:3" x14ac:dyDescent="0.25">
      <c r="A1052" s="12"/>
      <c r="B1052" s="12"/>
      <c r="C1052"/>
    </row>
    <row r="1053" spans="1:3" x14ac:dyDescent="0.25">
      <c r="A1053" s="12"/>
      <c r="B1053" s="12"/>
      <c r="C1053"/>
    </row>
    <row r="1054" spans="1:3" x14ac:dyDescent="0.25">
      <c r="A1054" s="12"/>
      <c r="B1054" s="12"/>
      <c r="C1054"/>
    </row>
    <row r="1055" spans="1:3" x14ac:dyDescent="0.25">
      <c r="A1055" s="12"/>
      <c r="B1055" s="12"/>
      <c r="C1055"/>
    </row>
    <row r="1056" spans="1:3" x14ac:dyDescent="0.25">
      <c r="A1056" s="12"/>
      <c r="B1056" s="12"/>
      <c r="C1056"/>
    </row>
    <row r="1057" spans="1:3" x14ac:dyDescent="0.25">
      <c r="A1057" s="12"/>
      <c r="B1057" s="12"/>
      <c r="C1057"/>
    </row>
    <row r="1058" spans="1:3" x14ac:dyDescent="0.25">
      <c r="A1058" s="12"/>
      <c r="B1058" s="12"/>
      <c r="C1058"/>
    </row>
    <row r="1059" spans="1:3" x14ac:dyDescent="0.25">
      <c r="A1059" s="12"/>
      <c r="B1059" s="12"/>
      <c r="C1059"/>
    </row>
    <row r="1060" spans="1:3" x14ac:dyDescent="0.25">
      <c r="A1060" s="12"/>
      <c r="B1060" s="12"/>
      <c r="C1060"/>
    </row>
    <row r="1061" spans="1:3" x14ac:dyDescent="0.25">
      <c r="A1061" s="12"/>
      <c r="B1061" s="12"/>
      <c r="C1061"/>
    </row>
    <row r="1062" spans="1:3" x14ac:dyDescent="0.25">
      <c r="A1062" s="12"/>
      <c r="B1062" s="12"/>
      <c r="C1062"/>
    </row>
    <row r="1063" spans="1:3" x14ac:dyDescent="0.25">
      <c r="A1063" s="12"/>
      <c r="B1063" s="12"/>
      <c r="C1063"/>
    </row>
    <row r="1064" spans="1:3" x14ac:dyDescent="0.25">
      <c r="A1064" s="12"/>
      <c r="B1064" s="12"/>
      <c r="C1064"/>
    </row>
    <row r="1065" spans="1:3" x14ac:dyDescent="0.25">
      <c r="A1065" s="12"/>
      <c r="B1065" s="12"/>
      <c r="C1065"/>
    </row>
    <row r="1066" spans="1:3" x14ac:dyDescent="0.25">
      <c r="A1066" s="12"/>
      <c r="B1066" s="12"/>
      <c r="C1066"/>
    </row>
    <row r="1067" spans="1:3" x14ac:dyDescent="0.25">
      <c r="A1067" s="12"/>
      <c r="B1067" s="12"/>
      <c r="C1067"/>
    </row>
    <row r="1068" spans="1:3" x14ac:dyDescent="0.25">
      <c r="A1068" s="12"/>
      <c r="B1068" s="12"/>
      <c r="C1068"/>
    </row>
    <row r="1069" spans="1:3" x14ac:dyDescent="0.25">
      <c r="A1069" s="12"/>
      <c r="B1069" s="12"/>
      <c r="C1069"/>
    </row>
    <row r="1070" spans="1:3" x14ac:dyDescent="0.25">
      <c r="A1070" s="12"/>
      <c r="B1070" s="12"/>
      <c r="C1070"/>
    </row>
    <row r="1071" spans="1:3" x14ac:dyDescent="0.25">
      <c r="A1071" s="12"/>
      <c r="B1071" s="12"/>
      <c r="C1071"/>
    </row>
    <row r="1072" spans="1:3" x14ac:dyDescent="0.25">
      <c r="A1072" s="12"/>
      <c r="B1072" s="12"/>
      <c r="C1072"/>
    </row>
    <row r="1073" spans="1:3" x14ac:dyDescent="0.25">
      <c r="A1073" s="12"/>
      <c r="B1073" s="12"/>
      <c r="C1073"/>
    </row>
    <row r="1074" spans="1:3" x14ac:dyDescent="0.25">
      <c r="A1074" s="12"/>
      <c r="B1074" s="12"/>
      <c r="C1074"/>
    </row>
    <row r="1075" spans="1:3" x14ac:dyDescent="0.25">
      <c r="A1075" s="12"/>
      <c r="B1075" s="12"/>
      <c r="C1075"/>
    </row>
    <row r="1076" spans="1:3" x14ac:dyDescent="0.25">
      <c r="A1076" s="12"/>
      <c r="B1076" s="12"/>
      <c r="C1076"/>
    </row>
    <row r="1077" spans="1:3" x14ac:dyDescent="0.25">
      <c r="A1077" s="12"/>
      <c r="B1077" s="12"/>
      <c r="C1077"/>
    </row>
    <row r="1078" spans="1:3" x14ac:dyDescent="0.25">
      <c r="A1078" s="12"/>
      <c r="B1078" s="12"/>
      <c r="C1078"/>
    </row>
    <row r="1079" spans="1:3" x14ac:dyDescent="0.25">
      <c r="A1079" s="12"/>
      <c r="B1079" s="12"/>
      <c r="C1079"/>
    </row>
    <row r="1080" spans="1:3" x14ac:dyDescent="0.25">
      <c r="A1080" s="12"/>
      <c r="B1080" s="12"/>
      <c r="C1080"/>
    </row>
    <row r="1081" spans="1:3" x14ac:dyDescent="0.25">
      <c r="A1081" s="12"/>
      <c r="B1081" s="12"/>
      <c r="C1081"/>
    </row>
    <row r="1082" spans="1:3" x14ac:dyDescent="0.25">
      <c r="A1082" s="12"/>
      <c r="B1082" s="12"/>
      <c r="C1082"/>
    </row>
    <row r="1083" spans="1:3" x14ac:dyDescent="0.25">
      <c r="A1083" s="12"/>
      <c r="B1083" s="12"/>
      <c r="C1083"/>
    </row>
    <row r="1084" spans="1:3" x14ac:dyDescent="0.25">
      <c r="A1084" s="12"/>
      <c r="B1084" s="12"/>
      <c r="C1084"/>
    </row>
    <row r="1085" spans="1:3" x14ac:dyDescent="0.25">
      <c r="A1085" s="12"/>
      <c r="B1085" s="12"/>
      <c r="C1085"/>
    </row>
    <row r="1086" spans="1:3" x14ac:dyDescent="0.25">
      <c r="A1086" s="12"/>
      <c r="B1086" s="12"/>
      <c r="C1086"/>
    </row>
    <row r="1087" spans="1:3" x14ac:dyDescent="0.25">
      <c r="A1087" s="12"/>
      <c r="B1087" s="12"/>
      <c r="C1087"/>
    </row>
    <row r="1088" spans="1:3" x14ac:dyDescent="0.25">
      <c r="A1088" s="12"/>
      <c r="B1088" s="12"/>
      <c r="C1088"/>
    </row>
    <row r="1089" spans="1:3" x14ac:dyDescent="0.25">
      <c r="A1089" s="12"/>
      <c r="B1089" s="12"/>
      <c r="C1089"/>
    </row>
    <row r="1090" spans="1:3" x14ac:dyDescent="0.25">
      <c r="A1090" s="12"/>
      <c r="B1090" s="12"/>
      <c r="C1090"/>
    </row>
    <row r="1091" spans="1:3" x14ac:dyDescent="0.25">
      <c r="A1091" s="12"/>
      <c r="B1091" s="12"/>
      <c r="C1091"/>
    </row>
    <row r="1092" spans="1:3" x14ac:dyDescent="0.25">
      <c r="A1092" s="12"/>
      <c r="B1092" s="12"/>
      <c r="C1092"/>
    </row>
    <row r="1093" spans="1:3" x14ac:dyDescent="0.25">
      <c r="A1093" s="12"/>
      <c r="B1093" s="12"/>
      <c r="C1093"/>
    </row>
    <row r="1094" spans="1:3" x14ac:dyDescent="0.25">
      <c r="A1094" s="12"/>
      <c r="B1094" s="12"/>
      <c r="C1094"/>
    </row>
    <row r="1095" spans="1:3" x14ac:dyDescent="0.25">
      <c r="A1095" s="12"/>
      <c r="B1095" s="12"/>
      <c r="C1095"/>
    </row>
    <row r="1096" spans="1:3" x14ac:dyDescent="0.25">
      <c r="A1096" s="12"/>
      <c r="B1096" s="12"/>
      <c r="C1096"/>
    </row>
    <row r="1097" spans="1:3" x14ac:dyDescent="0.25">
      <c r="A1097" s="12"/>
      <c r="B1097" s="12"/>
      <c r="C1097"/>
    </row>
    <row r="1098" spans="1:3" x14ac:dyDescent="0.25">
      <c r="A1098" s="12"/>
      <c r="B1098" s="12"/>
      <c r="C1098"/>
    </row>
    <row r="1099" spans="1:3" x14ac:dyDescent="0.25">
      <c r="A1099" s="12"/>
      <c r="B1099" s="12"/>
      <c r="C1099"/>
    </row>
    <row r="1100" spans="1:3" x14ac:dyDescent="0.25">
      <c r="A1100" s="12"/>
      <c r="B1100" s="12"/>
      <c r="C1100"/>
    </row>
    <row r="1101" spans="1:3" x14ac:dyDescent="0.25">
      <c r="A1101" s="12"/>
      <c r="B1101" s="12"/>
      <c r="C1101"/>
    </row>
    <row r="1102" spans="1:3" x14ac:dyDescent="0.25">
      <c r="A1102" s="12"/>
      <c r="B1102" s="12"/>
      <c r="C1102"/>
    </row>
    <row r="1103" spans="1:3" x14ac:dyDescent="0.25">
      <c r="A1103" s="12"/>
      <c r="B1103" s="12"/>
      <c r="C1103"/>
    </row>
    <row r="1104" spans="1:3" x14ac:dyDescent="0.25">
      <c r="A1104" s="12"/>
      <c r="B1104" s="12"/>
      <c r="C1104"/>
    </row>
    <row r="1105" spans="1:3" x14ac:dyDescent="0.25">
      <c r="A1105" s="12"/>
      <c r="B1105" s="12"/>
      <c r="C1105"/>
    </row>
    <row r="1106" spans="1:3" x14ac:dyDescent="0.25">
      <c r="A1106" s="12"/>
      <c r="B1106" s="12"/>
      <c r="C1106"/>
    </row>
    <row r="1107" spans="1:3" x14ac:dyDescent="0.25">
      <c r="A1107" s="12"/>
      <c r="B1107" s="12"/>
      <c r="C1107"/>
    </row>
    <row r="1108" spans="1:3" x14ac:dyDescent="0.25">
      <c r="A1108" s="12"/>
      <c r="B1108" s="12"/>
      <c r="C1108"/>
    </row>
    <row r="1109" spans="1:3" x14ac:dyDescent="0.25">
      <c r="A1109" s="12"/>
      <c r="B1109" s="12"/>
      <c r="C1109"/>
    </row>
    <row r="1110" spans="1:3" x14ac:dyDescent="0.25">
      <c r="A1110" s="12"/>
      <c r="B1110" s="12"/>
      <c r="C1110"/>
    </row>
    <row r="1111" spans="1:3" x14ac:dyDescent="0.25">
      <c r="A1111" s="12"/>
      <c r="B1111" s="12"/>
      <c r="C1111"/>
    </row>
    <row r="1112" spans="1:3" x14ac:dyDescent="0.25">
      <c r="A1112" s="12"/>
      <c r="B1112" s="12"/>
      <c r="C1112"/>
    </row>
    <row r="1113" spans="1:3" x14ac:dyDescent="0.25">
      <c r="A1113" s="12"/>
      <c r="B1113" s="12"/>
      <c r="C1113"/>
    </row>
    <row r="1114" spans="1:3" x14ac:dyDescent="0.25">
      <c r="A1114" s="12"/>
      <c r="B1114" s="12"/>
      <c r="C1114"/>
    </row>
    <row r="1115" spans="1:3" x14ac:dyDescent="0.25">
      <c r="A1115" s="12"/>
      <c r="B1115" s="12"/>
      <c r="C1115"/>
    </row>
    <row r="1116" spans="1:3" x14ac:dyDescent="0.25">
      <c r="A1116" s="12"/>
      <c r="B1116" s="12"/>
      <c r="C1116"/>
    </row>
    <row r="1117" spans="1:3" x14ac:dyDescent="0.25">
      <c r="A1117" s="12"/>
      <c r="B1117" s="12"/>
      <c r="C1117"/>
    </row>
    <row r="1118" spans="1:3" x14ac:dyDescent="0.25">
      <c r="A1118" s="12"/>
      <c r="B1118" s="12"/>
      <c r="C1118"/>
    </row>
    <row r="1119" spans="1:3" x14ac:dyDescent="0.25">
      <c r="A1119" s="12"/>
      <c r="B1119" s="12"/>
      <c r="C1119"/>
    </row>
    <row r="1120" spans="1:3" x14ac:dyDescent="0.25">
      <c r="A1120" s="12"/>
      <c r="B1120" s="12"/>
      <c r="C1120"/>
    </row>
    <row r="1121" spans="1:3" x14ac:dyDescent="0.25">
      <c r="A1121" s="12"/>
      <c r="B1121" s="12"/>
      <c r="C1121"/>
    </row>
    <row r="1122" spans="1:3" x14ac:dyDescent="0.25">
      <c r="A1122" s="12"/>
      <c r="B1122" s="12"/>
      <c r="C1122"/>
    </row>
    <row r="1123" spans="1:3" x14ac:dyDescent="0.25">
      <c r="A1123" s="12"/>
      <c r="B1123" s="12"/>
      <c r="C1123"/>
    </row>
    <row r="1124" spans="1:3" x14ac:dyDescent="0.25">
      <c r="A1124" s="12"/>
      <c r="B1124" s="12"/>
      <c r="C1124"/>
    </row>
    <row r="1125" spans="1:3" x14ac:dyDescent="0.25">
      <c r="A1125" s="12"/>
      <c r="B1125" s="12"/>
      <c r="C1125"/>
    </row>
    <row r="1126" spans="1:3" x14ac:dyDescent="0.25">
      <c r="A1126" s="12"/>
      <c r="B1126" s="12"/>
      <c r="C1126"/>
    </row>
    <row r="1127" spans="1:3" x14ac:dyDescent="0.25">
      <c r="A1127" s="12"/>
      <c r="B1127" s="12"/>
      <c r="C1127"/>
    </row>
    <row r="1128" spans="1:3" x14ac:dyDescent="0.25">
      <c r="A1128" s="12"/>
      <c r="B1128" s="12"/>
      <c r="C1128"/>
    </row>
    <row r="1129" spans="1:3" x14ac:dyDescent="0.25">
      <c r="A1129" s="12"/>
      <c r="B1129" s="12"/>
      <c r="C1129"/>
    </row>
    <row r="1130" spans="1:3" x14ac:dyDescent="0.25">
      <c r="A1130" s="12"/>
      <c r="B1130" s="12"/>
      <c r="C1130"/>
    </row>
    <row r="1131" spans="1:3" x14ac:dyDescent="0.25">
      <c r="A1131" s="12"/>
      <c r="B1131" s="12"/>
      <c r="C1131"/>
    </row>
    <row r="1132" spans="1:3" x14ac:dyDescent="0.25">
      <c r="A1132" s="12"/>
      <c r="B1132" s="12"/>
      <c r="C1132"/>
    </row>
    <row r="1133" spans="1:3" x14ac:dyDescent="0.25">
      <c r="A1133" s="12"/>
      <c r="B1133" s="12"/>
      <c r="C1133"/>
    </row>
    <row r="1134" spans="1:3" x14ac:dyDescent="0.25">
      <c r="A1134" s="12"/>
      <c r="B1134" s="12"/>
      <c r="C1134"/>
    </row>
    <row r="1135" spans="1:3" x14ac:dyDescent="0.25">
      <c r="A1135" s="12"/>
      <c r="B1135" s="12"/>
      <c r="C1135"/>
    </row>
    <row r="1136" spans="1:3" x14ac:dyDescent="0.25">
      <c r="A1136" s="12"/>
      <c r="B1136" s="12"/>
      <c r="C1136"/>
    </row>
    <row r="1137" spans="1:3" x14ac:dyDescent="0.25">
      <c r="A1137" s="12"/>
      <c r="B1137" s="12"/>
      <c r="C1137"/>
    </row>
    <row r="1138" spans="1:3" x14ac:dyDescent="0.25">
      <c r="A1138" s="12"/>
      <c r="B1138" s="12"/>
      <c r="C1138"/>
    </row>
    <row r="1139" spans="1:3" x14ac:dyDescent="0.25">
      <c r="A1139" s="12"/>
      <c r="B1139" s="12"/>
      <c r="C1139"/>
    </row>
    <row r="1140" spans="1:3" x14ac:dyDescent="0.25">
      <c r="A1140" s="12"/>
      <c r="B1140" s="12"/>
      <c r="C1140"/>
    </row>
    <row r="1141" spans="1:3" x14ac:dyDescent="0.25">
      <c r="A1141" s="12"/>
      <c r="B1141" s="12"/>
      <c r="C1141"/>
    </row>
    <row r="1142" spans="1:3" x14ac:dyDescent="0.25">
      <c r="A1142" s="12"/>
      <c r="B1142" s="12"/>
      <c r="C1142"/>
    </row>
    <row r="1143" spans="1:3" x14ac:dyDescent="0.25">
      <c r="A1143" s="12"/>
      <c r="B1143" s="12"/>
      <c r="C1143"/>
    </row>
    <row r="1144" spans="1:3" x14ac:dyDescent="0.25">
      <c r="A1144" s="12"/>
      <c r="B1144" s="12"/>
      <c r="C1144"/>
    </row>
    <row r="1145" spans="1:3" x14ac:dyDescent="0.25">
      <c r="A1145" s="12"/>
      <c r="B1145" s="12"/>
      <c r="C1145"/>
    </row>
    <row r="1146" spans="1:3" x14ac:dyDescent="0.25">
      <c r="A1146" s="12"/>
      <c r="B1146" s="12"/>
      <c r="C1146"/>
    </row>
    <row r="1147" spans="1:3" x14ac:dyDescent="0.25">
      <c r="A1147" s="12"/>
      <c r="B1147" s="12"/>
      <c r="C1147"/>
    </row>
    <row r="1148" spans="1:3" x14ac:dyDescent="0.25">
      <c r="A1148" s="12"/>
      <c r="B1148" s="12"/>
      <c r="C1148"/>
    </row>
    <row r="1149" spans="1:3" x14ac:dyDescent="0.25">
      <c r="A1149" s="12"/>
      <c r="B1149" s="12"/>
      <c r="C1149"/>
    </row>
    <row r="1150" spans="1:3" x14ac:dyDescent="0.25">
      <c r="A1150" s="12"/>
      <c r="B1150" s="12"/>
      <c r="C1150"/>
    </row>
    <row r="1151" spans="1:3" x14ac:dyDescent="0.25">
      <c r="A1151" s="12"/>
      <c r="B1151" s="12"/>
      <c r="C1151"/>
    </row>
    <row r="1152" spans="1:3" x14ac:dyDescent="0.25">
      <c r="A1152" s="12"/>
      <c r="B1152" s="12"/>
      <c r="C1152"/>
    </row>
    <row r="1153" spans="1:3" x14ac:dyDescent="0.25">
      <c r="A1153" s="12"/>
      <c r="B1153" s="12"/>
      <c r="C1153"/>
    </row>
    <row r="1154" spans="1:3" x14ac:dyDescent="0.25">
      <c r="A1154" s="12"/>
      <c r="B1154" s="12"/>
      <c r="C1154"/>
    </row>
    <row r="1155" spans="1:3" x14ac:dyDescent="0.25">
      <c r="A1155" s="12"/>
      <c r="B1155" s="12"/>
      <c r="C1155"/>
    </row>
    <row r="1156" spans="1:3" x14ac:dyDescent="0.25">
      <c r="A1156" s="12"/>
      <c r="B1156" s="12"/>
      <c r="C1156"/>
    </row>
    <row r="1157" spans="1:3" x14ac:dyDescent="0.25">
      <c r="A1157" s="12"/>
      <c r="B1157" s="12"/>
      <c r="C1157"/>
    </row>
    <row r="1158" spans="1:3" x14ac:dyDescent="0.25">
      <c r="A1158" s="12"/>
      <c r="B1158" s="12"/>
      <c r="C1158"/>
    </row>
    <row r="1159" spans="1:3" x14ac:dyDescent="0.25">
      <c r="A1159" s="12"/>
      <c r="B1159" s="12"/>
      <c r="C1159"/>
    </row>
    <row r="1160" spans="1:3" x14ac:dyDescent="0.25">
      <c r="A1160" s="12"/>
      <c r="B1160" s="12"/>
      <c r="C1160"/>
    </row>
    <row r="1161" spans="1:3" x14ac:dyDescent="0.25">
      <c r="A1161" s="12"/>
      <c r="B1161" s="12"/>
      <c r="C1161"/>
    </row>
    <row r="1162" spans="1:3" x14ac:dyDescent="0.25">
      <c r="A1162" s="12"/>
      <c r="B1162" s="12"/>
      <c r="C1162"/>
    </row>
    <row r="1163" spans="1:3" x14ac:dyDescent="0.25">
      <c r="A1163" s="12"/>
      <c r="B1163" s="12"/>
      <c r="C1163"/>
    </row>
    <row r="1164" spans="1:3" x14ac:dyDescent="0.25">
      <c r="A1164" s="12"/>
      <c r="B1164" s="12"/>
      <c r="C1164"/>
    </row>
    <row r="1165" spans="1:3" x14ac:dyDescent="0.25">
      <c r="A1165" s="12"/>
      <c r="B1165" s="12"/>
      <c r="C1165"/>
    </row>
    <row r="1166" spans="1:3" x14ac:dyDescent="0.25">
      <c r="A1166" s="12"/>
      <c r="B1166" s="12"/>
      <c r="C1166"/>
    </row>
    <row r="1167" spans="1:3" x14ac:dyDescent="0.25">
      <c r="A1167" s="12"/>
      <c r="B1167" s="12"/>
      <c r="C1167"/>
    </row>
    <row r="1168" spans="1:3" x14ac:dyDescent="0.25">
      <c r="A1168" s="12"/>
      <c r="B1168" s="12"/>
      <c r="C1168"/>
    </row>
    <row r="1169" spans="1:3" x14ac:dyDescent="0.25">
      <c r="A1169" s="12"/>
      <c r="B1169" s="12"/>
      <c r="C1169"/>
    </row>
    <row r="1170" spans="1:3" x14ac:dyDescent="0.25">
      <c r="A1170" s="12"/>
      <c r="B1170" s="12"/>
      <c r="C1170"/>
    </row>
    <row r="1171" spans="1:3" x14ac:dyDescent="0.25">
      <c r="A1171" s="12"/>
      <c r="B1171" s="12"/>
      <c r="C1171"/>
    </row>
    <row r="1172" spans="1:3" x14ac:dyDescent="0.25">
      <c r="A1172" s="12"/>
      <c r="B1172" s="12"/>
      <c r="C1172"/>
    </row>
    <row r="1173" spans="1:3" x14ac:dyDescent="0.25">
      <c r="A1173" s="12"/>
      <c r="B1173" s="12"/>
      <c r="C1173"/>
    </row>
    <row r="1174" spans="1:3" x14ac:dyDescent="0.25">
      <c r="A1174" s="12"/>
      <c r="B1174" s="12"/>
      <c r="C1174"/>
    </row>
    <row r="1175" spans="1:3" x14ac:dyDescent="0.25">
      <c r="A1175" s="12"/>
      <c r="B1175" s="12"/>
      <c r="C1175"/>
    </row>
    <row r="1176" spans="1:3" x14ac:dyDescent="0.25">
      <c r="A1176" s="12"/>
      <c r="B1176" s="12"/>
      <c r="C1176"/>
    </row>
    <row r="1177" spans="1:3" x14ac:dyDescent="0.25">
      <c r="A1177" s="12"/>
      <c r="B1177" s="12"/>
      <c r="C1177"/>
    </row>
    <row r="1178" spans="1:3" x14ac:dyDescent="0.25">
      <c r="A1178" s="1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7</xdr:col>
                    <xdr:colOff>314325</xdr:colOff>
                    <xdr:row>0</xdr:row>
                    <xdr:rowOff>76200</xdr:rowOff>
                  </from>
                  <to>
                    <xdr:col>9</xdr:col>
                    <xdr:colOff>47625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TickerFile">
                <anchor moveWithCells="1" sizeWithCells="1">
                  <from>
                    <xdr:col>3</xdr:col>
                    <xdr:colOff>504825</xdr:colOff>
                    <xdr:row>0</xdr:row>
                    <xdr:rowOff>76200</xdr:rowOff>
                  </from>
                  <to>
                    <xdr:col>5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erifyTickers">
                <anchor moveWithCells="1" sizeWithCells="1">
                  <from>
                    <xdr:col>5</xdr:col>
                    <xdr:colOff>400050</xdr:colOff>
                    <xdr:row>0</xdr:row>
                    <xdr:rowOff>66675</xdr:rowOff>
                  </from>
                  <to>
                    <xdr:col>7</xdr:col>
                    <xdr:colOff>200025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Data">
                <anchor moveWithCells="1" sizeWithCells="1">
                  <from>
                    <xdr:col>9</xdr:col>
                    <xdr:colOff>161925</xdr:colOff>
                    <xdr:row>0</xdr:row>
                    <xdr:rowOff>85725</xdr:rowOff>
                  </from>
                  <to>
                    <xdr:col>10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workbookViewId="0">
      <selection activeCell="C12" sqref="C12:C15"/>
    </sheetView>
  </sheetViews>
  <sheetFormatPr defaultRowHeight="15" x14ac:dyDescent="0.25"/>
  <cols>
    <col min="1" max="1" width="20.85546875" style="2" customWidth="1"/>
    <col min="2" max="2" width="19.28515625" style="8" customWidth="1"/>
    <col min="3" max="3" width="18" style="2" customWidth="1"/>
    <col min="4" max="4" width="19.85546875" style="2" customWidth="1"/>
    <col min="5" max="16384" width="9.140625" style="2"/>
  </cols>
  <sheetData>
    <row r="1" spans="1:4" ht="12.75" x14ac:dyDescent="0.2">
      <c r="A1" s="1" t="s">
        <v>70</v>
      </c>
      <c r="B1" s="2"/>
    </row>
    <row r="2" spans="1:4" ht="12.75" x14ac:dyDescent="0.2">
      <c r="B2" s="2"/>
    </row>
    <row r="3" spans="1:4" ht="12.75" x14ac:dyDescent="0.2">
      <c r="B3" s="2"/>
    </row>
    <row r="4" spans="1:4" ht="12.75" x14ac:dyDescent="0.2">
      <c r="A4" s="3" t="s">
        <v>71</v>
      </c>
      <c r="B4" s="4" t="s">
        <v>72</v>
      </c>
      <c r="C4" s="3" t="s">
        <v>73</v>
      </c>
      <c r="D4" s="3" t="s">
        <v>74</v>
      </c>
    </row>
    <row r="5" spans="1:4" x14ac:dyDescent="0.25">
      <c r="A5" s="5" t="s">
        <v>75</v>
      </c>
      <c r="B5" s="6">
        <f ca="1">IF(NOW()-TODAY() &gt; TIME(16,0,0),B7,1021)</f>
        <v>1021</v>
      </c>
      <c r="C5" s="5" t="s">
        <v>76</v>
      </c>
      <c r="D5" s="7" t="s">
        <v>77</v>
      </c>
    </row>
    <row r="6" spans="1:4" x14ac:dyDescent="0.25">
      <c r="A6" s="5" t="s">
        <v>78</v>
      </c>
      <c r="B6" s="6">
        <v>6037</v>
      </c>
      <c r="C6" s="5" t="s">
        <v>76</v>
      </c>
      <c r="D6" s="5"/>
    </row>
    <row r="7" spans="1:4" x14ac:dyDescent="0.25">
      <c r="A7" s="5" t="s">
        <v>79</v>
      </c>
      <c r="B7" s="6">
        <v>1006</v>
      </c>
      <c r="C7" s="5" t="s">
        <v>76</v>
      </c>
      <c r="D7" s="5"/>
    </row>
    <row r="8" spans="1:4" ht="12.75" x14ac:dyDescent="0.2">
      <c r="A8" s="5" t="s">
        <v>80</v>
      </c>
      <c r="B8" s="5">
        <v>20797</v>
      </c>
      <c r="C8" s="5" t="s">
        <v>81</v>
      </c>
      <c r="D8" s="5"/>
    </row>
    <row r="9" spans="1:4" x14ac:dyDescent="0.25">
      <c r="A9" s="6" t="s">
        <v>82</v>
      </c>
      <c r="B9" s="6">
        <v>8107</v>
      </c>
      <c r="C9" s="5" t="s">
        <v>81</v>
      </c>
      <c r="D9" s="5"/>
    </row>
    <row r="10" spans="1:4" x14ac:dyDescent="0.25">
      <c r="A10" s="5" t="s">
        <v>83</v>
      </c>
      <c r="B10" s="6">
        <v>6041</v>
      </c>
      <c r="C10" s="5" t="s">
        <v>76</v>
      </c>
      <c r="D10" s="5"/>
    </row>
    <row r="11" spans="1:4" x14ac:dyDescent="0.25">
      <c r="A11" s="5" t="s">
        <v>84</v>
      </c>
      <c r="B11" s="6">
        <f ca="1">IF(AND(NOW()-TODAY() &gt;= TIME(9,30,0), NOW()-TODAY() &lt;= TIME(16,0,0)), B7,B10)</f>
        <v>1006</v>
      </c>
      <c r="C11" s="5" t="s">
        <v>76</v>
      </c>
      <c r="D11" s="7" t="s">
        <v>85</v>
      </c>
    </row>
    <row r="12" spans="1:4" x14ac:dyDescent="0.25">
      <c r="A12" s="11" t="s">
        <v>89</v>
      </c>
      <c r="B12" s="8">
        <v>1012</v>
      </c>
      <c r="C12" s="5" t="s">
        <v>76</v>
      </c>
    </row>
    <row r="13" spans="1:4" x14ac:dyDescent="0.25">
      <c r="A13" s="5" t="s">
        <v>40</v>
      </c>
      <c r="B13" s="8">
        <v>1013</v>
      </c>
      <c r="C13" s="5" t="s">
        <v>76</v>
      </c>
    </row>
    <row r="14" spans="1:4" x14ac:dyDescent="0.25">
      <c r="A14" s="5" t="s">
        <v>88</v>
      </c>
      <c r="B14" s="8">
        <v>1019</v>
      </c>
      <c r="C14" s="5" t="s">
        <v>76</v>
      </c>
    </row>
    <row r="15" spans="1:4" x14ac:dyDescent="0.25">
      <c r="A15" s="5" t="s">
        <v>90</v>
      </c>
      <c r="B15" s="8">
        <v>1032</v>
      </c>
      <c r="C15" s="5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05"/>
  <sheetViews>
    <sheetView workbookViewId="0"/>
  </sheetViews>
  <sheetFormatPr defaultRowHeight="15" x14ac:dyDescent="0.25"/>
  <cols>
    <col min="1" max="2" width="9.140625" style="15"/>
  </cols>
  <sheetData>
    <row r="1" spans="1:3" x14ac:dyDescent="0.25">
      <c r="A1" t="s">
        <v>91</v>
      </c>
      <c r="B1" t="s">
        <v>92</v>
      </c>
      <c r="C1" t="s">
        <v>93</v>
      </c>
    </row>
    <row r="2" spans="1:3" x14ac:dyDescent="0.25">
      <c r="A2">
        <v>779</v>
      </c>
      <c r="B2" t="s">
        <v>94</v>
      </c>
      <c r="C2" t="s">
        <v>95</v>
      </c>
    </row>
    <row r="3" spans="1:3" x14ac:dyDescent="0.25">
      <c r="A3">
        <v>780</v>
      </c>
      <c r="B3" t="s">
        <v>96</v>
      </c>
      <c r="C3" t="s">
        <v>97</v>
      </c>
    </row>
    <row r="4" spans="1:3" x14ac:dyDescent="0.25">
      <c r="A4">
        <v>829</v>
      </c>
      <c r="B4" t="s">
        <v>98</v>
      </c>
      <c r="C4" t="s">
        <v>99</v>
      </c>
    </row>
    <row r="5" spans="1:3" x14ac:dyDescent="0.25">
      <c r="A5">
        <v>835</v>
      </c>
      <c r="B5" t="s">
        <v>100</v>
      </c>
      <c r="C5" t="s">
        <v>101</v>
      </c>
    </row>
    <row r="6" spans="1:3" x14ac:dyDescent="0.25">
      <c r="A6">
        <v>902</v>
      </c>
      <c r="B6" t="s">
        <v>102</v>
      </c>
      <c r="C6" t="s">
        <v>103</v>
      </c>
    </row>
    <row r="7" spans="1:3" x14ac:dyDescent="0.25">
      <c r="A7">
        <v>1000</v>
      </c>
      <c r="B7" t="s">
        <v>104</v>
      </c>
      <c r="C7" t="s">
        <v>105</v>
      </c>
    </row>
    <row r="8" spans="1:3" x14ac:dyDescent="0.25">
      <c r="A8">
        <v>1562</v>
      </c>
      <c r="B8" t="s">
        <v>106</v>
      </c>
      <c r="C8" t="s">
        <v>107</v>
      </c>
    </row>
    <row r="9" spans="1:3" x14ac:dyDescent="0.25">
      <c r="A9">
        <v>1993</v>
      </c>
      <c r="B9" t="s">
        <v>108</v>
      </c>
      <c r="C9" t="s">
        <v>109</v>
      </c>
    </row>
    <row r="10" spans="1:3" x14ac:dyDescent="0.25">
      <c r="A10">
        <v>1994</v>
      </c>
      <c r="B10" t="s">
        <v>1</v>
      </c>
      <c r="C10" t="s">
        <v>110</v>
      </c>
    </row>
    <row r="11" spans="1:3" x14ac:dyDescent="0.25">
      <c r="A11">
        <v>2081</v>
      </c>
      <c r="B11" t="s">
        <v>111</v>
      </c>
      <c r="C11" t="s">
        <v>112</v>
      </c>
    </row>
    <row r="12" spans="1:3" x14ac:dyDescent="0.25">
      <c r="A12">
        <v>2808</v>
      </c>
      <c r="B12" t="s">
        <v>113</v>
      </c>
      <c r="C12" t="s">
        <v>114</v>
      </c>
    </row>
    <row r="13" spans="1:3" x14ac:dyDescent="0.25">
      <c r="A13">
        <v>2822</v>
      </c>
      <c r="B13" t="s">
        <v>2</v>
      </c>
      <c r="C13" t="s">
        <v>115</v>
      </c>
    </row>
    <row r="14" spans="1:3" x14ac:dyDescent="0.25">
      <c r="A14">
        <v>2848</v>
      </c>
      <c r="B14" t="s">
        <v>116</v>
      </c>
      <c r="C14" t="s">
        <v>117</v>
      </c>
    </row>
    <row r="15" spans="1:3" x14ac:dyDescent="0.25">
      <c r="A15">
        <v>2885</v>
      </c>
      <c r="B15" t="s">
        <v>6</v>
      </c>
      <c r="C15" t="s">
        <v>118</v>
      </c>
    </row>
    <row r="16" spans="1:3" x14ac:dyDescent="0.25">
      <c r="A16">
        <v>2924</v>
      </c>
      <c r="B16" t="s">
        <v>119</v>
      </c>
      <c r="C16" t="s">
        <v>120</v>
      </c>
    </row>
    <row r="17" spans="1:3" x14ac:dyDescent="0.25">
      <c r="A17">
        <v>3403</v>
      </c>
      <c r="B17" t="s">
        <v>121</v>
      </c>
      <c r="C17" t="s">
        <v>122</v>
      </c>
    </row>
    <row r="18" spans="1:3" x14ac:dyDescent="0.25">
      <c r="A18">
        <v>3600</v>
      </c>
      <c r="B18" t="s">
        <v>123</v>
      </c>
      <c r="C18" t="s">
        <v>124</v>
      </c>
    </row>
    <row r="19" spans="1:3" x14ac:dyDescent="0.25">
      <c r="A19">
        <v>3977</v>
      </c>
      <c r="B19" t="s">
        <v>125</v>
      </c>
      <c r="C19" t="s">
        <v>126</v>
      </c>
    </row>
    <row r="20" spans="1:3" x14ac:dyDescent="0.25">
      <c r="A20">
        <v>4505</v>
      </c>
      <c r="B20" t="s">
        <v>127</v>
      </c>
      <c r="C20" t="s">
        <v>128</v>
      </c>
    </row>
    <row r="21" spans="1:3" x14ac:dyDescent="0.25">
      <c r="A21">
        <v>5015</v>
      </c>
      <c r="B21" t="s">
        <v>129</v>
      </c>
      <c r="C21" t="s">
        <v>130</v>
      </c>
    </row>
    <row r="22" spans="1:3" x14ac:dyDescent="0.25">
      <c r="A22">
        <v>5301</v>
      </c>
      <c r="B22" t="s">
        <v>131</v>
      </c>
      <c r="C22" t="s">
        <v>783</v>
      </c>
    </row>
    <row r="23" spans="1:3" x14ac:dyDescent="0.25">
      <c r="A23">
        <v>5518</v>
      </c>
      <c r="B23" t="s">
        <v>5</v>
      </c>
      <c r="C23" t="s">
        <v>132</v>
      </c>
    </row>
    <row r="24" spans="1:3" x14ac:dyDescent="0.25">
      <c r="A24">
        <v>5970</v>
      </c>
      <c r="B24" t="s">
        <v>133</v>
      </c>
      <c r="C24" t="s">
        <v>134</v>
      </c>
    </row>
    <row r="25" spans="1:3" x14ac:dyDescent="0.25">
      <c r="A25">
        <v>6083</v>
      </c>
      <c r="B25" t="s">
        <v>135</v>
      </c>
      <c r="C25" t="s">
        <v>136</v>
      </c>
    </row>
    <row r="26" spans="1:3" x14ac:dyDescent="0.25">
      <c r="A26">
        <v>6307</v>
      </c>
      <c r="B26" t="s">
        <v>137</v>
      </c>
      <c r="C26" t="s">
        <v>138</v>
      </c>
    </row>
    <row r="27" spans="1:3" x14ac:dyDescent="0.25">
      <c r="A27">
        <v>6472</v>
      </c>
      <c r="B27" t="s">
        <v>139</v>
      </c>
      <c r="C27" t="s">
        <v>140</v>
      </c>
    </row>
    <row r="28" spans="1:3" x14ac:dyDescent="0.25">
      <c r="A28">
        <v>6654</v>
      </c>
      <c r="B28" t="s">
        <v>141</v>
      </c>
      <c r="C28" t="s">
        <v>142</v>
      </c>
    </row>
    <row r="29" spans="1:3" x14ac:dyDescent="0.25">
      <c r="A29">
        <v>6867</v>
      </c>
      <c r="B29" t="s">
        <v>143</v>
      </c>
      <c r="C29" t="s">
        <v>144</v>
      </c>
    </row>
    <row r="30" spans="1:3" x14ac:dyDescent="0.25">
      <c r="A30">
        <v>6896</v>
      </c>
      <c r="B30" t="s">
        <v>145</v>
      </c>
      <c r="C30" t="s">
        <v>146</v>
      </c>
    </row>
    <row r="31" spans="1:3" x14ac:dyDescent="0.25">
      <c r="A31">
        <v>7059</v>
      </c>
      <c r="B31" t="s">
        <v>147</v>
      </c>
      <c r="C31" t="s">
        <v>148</v>
      </c>
    </row>
    <row r="32" spans="1:3" x14ac:dyDescent="0.25">
      <c r="A32">
        <v>8525</v>
      </c>
      <c r="B32" t="s">
        <v>149</v>
      </c>
      <c r="C32" t="s">
        <v>150</v>
      </c>
    </row>
    <row r="33" spans="1:3" x14ac:dyDescent="0.25">
      <c r="A33">
        <v>8576</v>
      </c>
      <c r="B33" t="s">
        <v>151</v>
      </c>
      <c r="C33" t="s">
        <v>152</v>
      </c>
    </row>
    <row r="34" spans="1:3" x14ac:dyDescent="0.25">
      <c r="A34">
        <v>8760</v>
      </c>
      <c r="B34" t="s">
        <v>153</v>
      </c>
      <c r="C34" t="s">
        <v>154</v>
      </c>
    </row>
    <row r="35" spans="1:3" x14ac:dyDescent="0.25">
      <c r="A35">
        <v>9932</v>
      </c>
      <c r="B35" t="s">
        <v>799</v>
      </c>
      <c r="C35" t="s">
        <v>800</v>
      </c>
    </row>
    <row r="36" spans="1:3" x14ac:dyDescent="0.25">
      <c r="A36">
        <v>9965</v>
      </c>
      <c r="B36" t="s">
        <v>7</v>
      </c>
      <c r="C36" t="s">
        <v>155</v>
      </c>
    </row>
    <row r="37" spans="1:3" x14ac:dyDescent="0.25">
      <c r="A37">
        <v>10262</v>
      </c>
      <c r="B37" t="s">
        <v>156</v>
      </c>
      <c r="C37" t="s">
        <v>157</v>
      </c>
    </row>
    <row r="38" spans="1:3" x14ac:dyDescent="0.25">
      <c r="A38">
        <v>10418</v>
      </c>
      <c r="B38" t="s">
        <v>158</v>
      </c>
      <c r="C38" t="s">
        <v>159</v>
      </c>
    </row>
    <row r="39" spans="1:3" x14ac:dyDescent="0.25">
      <c r="A39">
        <v>10442</v>
      </c>
      <c r="B39" t="s">
        <v>160</v>
      </c>
      <c r="C39" t="s">
        <v>161</v>
      </c>
    </row>
    <row r="40" spans="1:3" x14ac:dyDescent="0.25">
      <c r="A40">
        <v>10760</v>
      </c>
      <c r="B40" t="s">
        <v>162</v>
      </c>
      <c r="C40" t="s">
        <v>163</v>
      </c>
    </row>
    <row r="41" spans="1:3" x14ac:dyDescent="0.25">
      <c r="A41">
        <v>10923</v>
      </c>
      <c r="B41" t="s">
        <v>164</v>
      </c>
      <c r="C41" t="s">
        <v>165</v>
      </c>
    </row>
    <row r="42" spans="1:3" x14ac:dyDescent="0.25">
      <c r="A42">
        <v>10943</v>
      </c>
      <c r="B42" t="s">
        <v>166</v>
      </c>
      <c r="C42" t="s">
        <v>167</v>
      </c>
    </row>
    <row r="43" spans="1:3" x14ac:dyDescent="0.25">
      <c r="A43">
        <v>11221</v>
      </c>
      <c r="B43" t="s">
        <v>8</v>
      </c>
      <c r="C43" t="s">
        <v>168</v>
      </c>
    </row>
    <row r="44" spans="1:3" x14ac:dyDescent="0.25">
      <c r="A44">
        <v>11419</v>
      </c>
      <c r="B44" t="s">
        <v>169</v>
      </c>
      <c r="C44" t="s">
        <v>170</v>
      </c>
    </row>
    <row r="45" spans="1:3" x14ac:dyDescent="0.25">
      <c r="A45">
        <v>11466</v>
      </c>
      <c r="B45" t="s">
        <v>11</v>
      </c>
      <c r="C45" t="s">
        <v>171</v>
      </c>
    </row>
    <row r="46" spans="1:3" x14ac:dyDescent="0.25">
      <c r="A46">
        <v>12006</v>
      </c>
      <c r="B46" t="s">
        <v>172</v>
      </c>
      <c r="C46" t="s">
        <v>173</v>
      </c>
    </row>
    <row r="47" spans="1:3" x14ac:dyDescent="0.25">
      <c r="A47">
        <v>12011</v>
      </c>
      <c r="B47" t="s">
        <v>174</v>
      </c>
      <c r="C47" t="s">
        <v>175</v>
      </c>
    </row>
    <row r="48" spans="1:3" x14ac:dyDescent="0.25">
      <c r="A48">
        <v>12476</v>
      </c>
      <c r="B48" t="s">
        <v>176</v>
      </c>
      <c r="C48" t="s">
        <v>177</v>
      </c>
    </row>
    <row r="49" spans="1:3" x14ac:dyDescent="0.25">
      <c r="A49">
        <v>12641</v>
      </c>
      <c r="B49" t="s">
        <v>178</v>
      </c>
      <c r="C49" t="s">
        <v>179</v>
      </c>
    </row>
    <row r="50" spans="1:3" x14ac:dyDescent="0.25">
      <c r="A50">
        <v>12762</v>
      </c>
      <c r="B50" t="s">
        <v>9</v>
      </c>
      <c r="C50" t="s">
        <v>180</v>
      </c>
    </row>
    <row r="51" spans="1:3" x14ac:dyDescent="0.25">
      <c r="A51">
        <v>12965</v>
      </c>
      <c r="B51" t="s">
        <v>181</v>
      </c>
      <c r="C51" t="s">
        <v>182</v>
      </c>
    </row>
    <row r="52" spans="1:3" x14ac:dyDescent="0.25">
      <c r="A52">
        <v>14308</v>
      </c>
      <c r="B52" t="s">
        <v>183</v>
      </c>
      <c r="C52" t="s">
        <v>184</v>
      </c>
    </row>
    <row r="53" spans="1:3" x14ac:dyDescent="0.25">
      <c r="A53">
        <v>14343</v>
      </c>
      <c r="B53" t="s">
        <v>10</v>
      </c>
      <c r="C53" t="s">
        <v>185</v>
      </c>
    </row>
    <row r="54" spans="1:3" x14ac:dyDescent="0.25">
      <c r="A54">
        <v>14794</v>
      </c>
      <c r="B54" t="s">
        <v>186</v>
      </c>
      <c r="C54" t="s">
        <v>187</v>
      </c>
    </row>
    <row r="55" spans="1:3" x14ac:dyDescent="0.25">
      <c r="A55">
        <v>15688</v>
      </c>
      <c r="B55" t="s">
        <v>188</v>
      </c>
      <c r="C55" t="s">
        <v>189</v>
      </c>
    </row>
    <row r="56" spans="1:3" x14ac:dyDescent="0.25">
      <c r="A56">
        <v>15722</v>
      </c>
      <c r="B56" t="s">
        <v>190</v>
      </c>
      <c r="C56" t="s">
        <v>191</v>
      </c>
    </row>
    <row r="57" spans="1:3" x14ac:dyDescent="0.25">
      <c r="A57">
        <v>15892</v>
      </c>
      <c r="B57" t="s">
        <v>192</v>
      </c>
      <c r="C57" t="s">
        <v>193</v>
      </c>
    </row>
    <row r="58" spans="1:3" x14ac:dyDescent="0.25">
      <c r="A58">
        <v>17027</v>
      </c>
      <c r="B58" t="s">
        <v>194</v>
      </c>
      <c r="C58" t="s">
        <v>195</v>
      </c>
    </row>
    <row r="59" spans="1:3" x14ac:dyDescent="0.25">
      <c r="A59">
        <v>17452</v>
      </c>
      <c r="B59" t="s">
        <v>801</v>
      </c>
      <c r="C59" t="s">
        <v>802</v>
      </c>
    </row>
    <row r="60" spans="1:3" x14ac:dyDescent="0.25">
      <c r="A60">
        <v>17529</v>
      </c>
      <c r="B60" t="s">
        <v>196</v>
      </c>
      <c r="C60" t="s">
        <v>197</v>
      </c>
    </row>
    <row r="61" spans="1:3" x14ac:dyDescent="0.25">
      <c r="A61">
        <v>17531</v>
      </c>
      <c r="B61" t="s">
        <v>198</v>
      </c>
      <c r="C61" t="s">
        <v>199</v>
      </c>
    </row>
    <row r="62" spans="1:3" x14ac:dyDescent="0.25">
      <c r="A62">
        <v>17601</v>
      </c>
      <c r="B62" t="s">
        <v>200</v>
      </c>
      <c r="C62" t="s">
        <v>201</v>
      </c>
    </row>
    <row r="63" spans="1:3" x14ac:dyDescent="0.25">
      <c r="A63">
        <v>17997</v>
      </c>
      <c r="B63" t="s">
        <v>202</v>
      </c>
      <c r="C63" t="s">
        <v>203</v>
      </c>
    </row>
    <row r="64" spans="1:3" x14ac:dyDescent="0.25">
      <c r="A64">
        <v>18033</v>
      </c>
      <c r="B64" t="s">
        <v>12</v>
      </c>
      <c r="C64" t="s">
        <v>204</v>
      </c>
    </row>
    <row r="65" spans="1:3" x14ac:dyDescent="0.25">
      <c r="A65">
        <v>18074</v>
      </c>
      <c r="B65" t="s">
        <v>205</v>
      </c>
      <c r="C65" t="s">
        <v>206</v>
      </c>
    </row>
    <row r="66" spans="1:3" x14ac:dyDescent="0.25">
      <c r="A66">
        <v>18471</v>
      </c>
      <c r="B66" t="s">
        <v>207</v>
      </c>
      <c r="C66" t="s">
        <v>208</v>
      </c>
    </row>
    <row r="67" spans="1:3" x14ac:dyDescent="0.25">
      <c r="A67">
        <v>19116</v>
      </c>
      <c r="B67" t="s">
        <v>13</v>
      </c>
      <c r="C67" t="s">
        <v>209</v>
      </c>
    </row>
    <row r="68" spans="1:3" x14ac:dyDescent="0.25">
      <c r="A68">
        <v>19416</v>
      </c>
      <c r="B68" t="s">
        <v>210</v>
      </c>
      <c r="C68" t="s">
        <v>211</v>
      </c>
    </row>
    <row r="69" spans="1:3" x14ac:dyDescent="0.25">
      <c r="A69">
        <v>20280</v>
      </c>
      <c r="B69" t="s">
        <v>212</v>
      </c>
      <c r="C69" t="s">
        <v>213</v>
      </c>
    </row>
    <row r="70" spans="1:3" x14ac:dyDescent="0.25">
      <c r="A70">
        <v>20297</v>
      </c>
      <c r="B70" t="s">
        <v>214</v>
      </c>
      <c r="C70" t="s">
        <v>215</v>
      </c>
    </row>
    <row r="71" spans="1:3" x14ac:dyDescent="0.25">
      <c r="A71">
        <v>20359</v>
      </c>
      <c r="B71" t="s">
        <v>15</v>
      </c>
      <c r="C71" t="s">
        <v>216</v>
      </c>
    </row>
    <row r="72" spans="1:3" x14ac:dyDescent="0.25">
      <c r="A72">
        <v>21726</v>
      </c>
      <c r="B72" t="s">
        <v>217</v>
      </c>
      <c r="C72" t="s">
        <v>218</v>
      </c>
    </row>
    <row r="73" spans="1:3" x14ac:dyDescent="0.25">
      <c r="A73">
        <v>22110</v>
      </c>
      <c r="B73" t="s">
        <v>219</v>
      </c>
      <c r="C73" t="s">
        <v>220</v>
      </c>
    </row>
    <row r="74" spans="1:3" x14ac:dyDescent="0.25">
      <c r="A74">
        <v>22185</v>
      </c>
      <c r="B74" t="s">
        <v>16</v>
      </c>
      <c r="C74" t="s">
        <v>221</v>
      </c>
    </row>
    <row r="75" spans="1:3" x14ac:dyDescent="0.25">
      <c r="A75">
        <v>22270</v>
      </c>
      <c r="B75" t="s">
        <v>222</v>
      </c>
      <c r="C75" t="s">
        <v>223</v>
      </c>
    </row>
    <row r="76" spans="1:3" x14ac:dyDescent="0.25">
      <c r="A76">
        <v>22289</v>
      </c>
      <c r="B76" t="s">
        <v>224</v>
      </c>
      <c r="C76" t="s">
        <v>225</v>
      </c>
    </row>
    <row r="77" spans="1:3" x14ac:dyDescent="0.25">
      <c r="A77">
        <v>22834</v>
      </c>
      <c r="B77" t="s">
        <v>17</v>
      </c>
      <c r="C77" t="s">
        <v>226</v>
      </c>
    </row>
    <row r="78" spans="1:3" x14ac:dyDescent="0.25">
      <c r="A78">
        <v>23557</v>
      </c>
      <c r="B78" t="s">
        <v>227</v>
      </c>
      <c r="C78" t="s">
        <v>228</v>
      </c>
    </row>
    <row r="79" spans="1:3" x14ac:dyDescent="0.25">
      <c r="A79">
        <v>23592</v>
      </c>
      <c r="B79" t="s">
        <v>18</v>
      </c>
      <c r="C79" t="s">
        <v>229</v>
      </c>
    </row>
    <row r="80" spans="1:3" x14ac:dyDescent="0.25">
      <c r="A80">
        <v>23729</v>
      </c>
      <c r="B80" t="s">
        <v>230</v>
      </c>
      <c r="C80" t="s">
        <v>231</v>
      </c>
    </row>
    <row r="81" spans="1:3" x14ac:dyDescent="0.25">
      <c r="A81">
        <v>23855</v>
      </c>
      <c r="B81" t="s">
        <v>232</v>
      </c>
      <c r="C81" t="s">
        <v>233</v>
      </c>
    </row>
    <row r="82" spans="1:3" x14ac:dyDescent="0.25">
      <c r="A82">
        <v>23948</v>
      </c>
      <c r="B82" t="s">
        <v>234</v>
      </c>
      <c r="C82" t="s">
        <v>235</v>
      </c>
    </row>
    <row r="83" spans="1:3" x14ac:dyDescent="0.25">
      <c r="A83">
        <v>23957</v>
      </c>
      <c r="B83" t="s">
        <v>236</v>
      </c>
      <c r="C83" t="s">
        <v>237</v>
      </c>
    </row>
    <row r="84" spans="1:3" x14ac:dyDescent="0.25">
      <c r="A84">
        <v>24305</v>
      </c>
      <c r="B84" t="s">
        <v>19</v>
      </c>
      <c r="C84" t="s">
        <v>238</v>
      </c>
    </row>
    <row r="85" spans="1:3" x14ac:dyDescent="0.25">
      <c r="A85">
        <v>24480</v>
      </c>
      <c r="B85" t="s">
        <v>239</v>
      </c>
      <c r="C85" t="s">
        <v>240</v>
      </c>
    </row>
    <row r="86" spans="1:3" x14ac:dyDescent="0.25">
      <c r="A86">
        <v>24536</v>
      </c>
      <c r="B86" t="s">
        <v>241</v>
      </c>
      <c r="C86" t="s">
        <v>242</v>
      </c>
    </row>
    <row r="87" spans="1:3" x14ac:dyDescent="0.25">
      <c r="A87">
        <v>25025</v>
      </c>
      <c r="B87" t="s">
        <v>20</v>
      </c>
      <c r="C87" t="s">
        <v>243</v>
      </c>
    </row>
    <row r="88" spans="1:3" x14ac:dyDescent="0.25">
      <c r="A88">
        <v>25034</v>
      </c>
      <c r="B88" t="s">
        <v>244</v>
      </c>
      <c r="C88" t="s">
        <v>245</v>
      </c>
    </row>
    <row r="89" spans="1:3" x14ac:dyDescent="0.25">
      <c r="A89">
        <v>25040</v>
      </c>
      <c r="B89" t="s">
        <v>246</v>
      </c>
      <c r="C89" t="s">
        <v>247</v>
      </c>
    </row>
    <row r="90" spans="1:3" x14ac:dyDescent="0.25">
      <c r="A90">
        <v>25282</v>
      </c>
      <c r="B90" t="s">
        <v>248</v>
      </c>
      <c r="C90" t="s">
        <v>249</v>
      </c>
    </row>
    <row r="91" spans="1:3" x14ac:dyDescent="0.25">
      <c r="A91">
        <v>25524</v>
      </c>
      <c r="B91" t="s">
        <v>21</v>
      </c>
      <c r="C91" t="s">
        <v>250</v>
      </c>
    </row>
    <row r="92" spans="1:3" x14ac:dyDescent="0.25">
      <c r="A92">
        <v>25628</v>
      </c>
      <c r="B92" t="s">
        <v>251</v>
      </c>
      <c r="C92" t="s">
        <v>252</v>
      </c>
    </row>
    <row r="93" spans="1:3" x14ac:dyDescent="0.25">
      <c r="A93">
        <v>25707</v>
      </c>
      <c r="B93" t="s">
        <v>22</v>
      </c>
      <c r="C93" t="s">
        <v>253</v>
      </c>
    </row>
    <row r="94" spans="1:3" x14ac:dyDescent="0.25">
      <c r="A94">
        <v>27748</v>
      </c>
      <c r="B94" t="s">
        <v>24</v>
      </c>
      <c r="C94" t="s">
        <v>254</v>
      </c>
    </row>
    <row r="95" spans="1:3" x14ac:dyDescent="0.25">
      <c r="A95">
        <v>27760</v>
      </c>
      <c r="B95" t="s">
        <v>23</v>
      </c>
      <c r="C95" t="s">
        <v>255</v>
      </c>
    </row>
    <row r="96" spans="1:3" x14ac:dyDescent="0.25">
      <c r="A96">
        <v>27941</v>
      </c>
      <c r="B96" t="s">
        <v>256</v>
      </c>
      <c r="C96" t="s">
        <v>257</v>
      </c>
    </row>
    <row r="97" spans="1:3" x14ac:dyDescent="0.25">
      <c r="A97">
        <v>28024</v>
      </c>
      <c r="B97" t="s">
        <v>258</v>
      </c>
      <c r="C97" t="s">
        <v>259</v>
      </c>
    </row>
    <row r="98" spans="1:3" x14ac:dyDescent="0.25">
      <c r="A98">
        <v>28069</v>
      </c>
      <c r="B98" t="s">
        <v>260</v>
      </c>
      <c r="C98" t="s">
        <v>261</v>
      </c>
    </row>
    <row r="99" spans="1:3" x14ac:dyDescent="0.25">
      <c r="A99">
        <v>28194</v>
      </c>
      <c r="B99" t="s">
        <v>262</v>
      </c>
      <c r="C99" t="s">
        <v>263</v>
      </c>
    </row>
    <row r="100" spans="1:3" x14ac:dyDescent="0.25">
      <c r="A100">
        <v>28203</v>
      </c>
      <c r="B100" t="s">
        <v>264</v>
      </c>
      <c r="C100" t="s">
        <v>265</v>
      </c>
    </row>
    <row r="101" spans="1:3" x14ac:dyDescent="0.25">
      <c r="A101">
        <v>28427</v>
      </c>
      <c r="B101" t="s">
        <v>820</v>
      </c>
      <c r="C101" t="s">
        <v>821</v>
      </c>
    </row>
    <row r="102" spans="1:3" x14ac:dyDescent="0.25">
      <c r="A102">
        <v>28673</v>
      </c>
      <c r="B102" t="s">
        <v>266</v>
      </c>
      <c r="C102" t="s">
        <v>267</v>
      </c>
    </row>
    <row r="103" spans="1:3" x14ac:dyDescent="0.25">
      <c r="A103">
        <v>28851</v>
      </c>
      <c r="B103" t="s">
        <v>268</v>
      </c>
      <c r="C103" t="s">
        <v>269</v>
      </c>
    </row>
    <row r="104" spans="1:3" x14ac:dyDescent="0.25">
      <c r="A104">
        <v>29549</v>
      </c>
      <c r="B104" t="s">
        <v>270</v>
      </c>
      <c r="C104" t="s">
        <v>271</v>
      </c>
    </row>
    <row r="105" spans="1:3" x14ac:dyDescent="0.25">
      <c r="A105">
        <v>29555</v>
      </c>
      <c r="B105" t="s">
        <v>272</v>
      </c>
      <c r="C105" t="s">
        <v>273</v>
      </c>
    </row>
    <row r="106" spans="1:3" x14ac:dyDescent="0.25">
      <c r="A106">
        <v>29597</v>
      </c>
      <c r="B106" t="s">
        <v>274</v>
      </c>
      <c r="C106" t="s">
        <v>275</v>
      </c>
    </row>
    <row r="107" spans="1:3" x14ac:dyDescent="0.25">
      <c r="A107">
        <v>29627</v>
      </c>
      <c r="B107" t="s">
        <v>27</v>
      </c>
      <c r="C107" t="s">
        <v>276</v>
      </c>
    </row>
    <row r="108" spans="1:3" x14ac:dyDescent="0.25">
      <c r="A108">
        <v>29629</v>
      </c>
      <c r="B108" t="s">
        <v>28</v>
      </c>
      <c r="C108" t="s">
        <v>277</v>
      </c>
    </row>
    <row r="109" spans="1:3" x14ac:dyDescent="0.25">
      <c r="A109">
        <v>29689</v>
      </c>
      <c r="B109" t="s">
        <v>813</v>
      </c>
      <c r="C109" t="s">
        <v>814</v>
      </c>
    </row>
    <row r="110" spans="1:3" x14ac:dyDescent="0.25">
      <c r="A110">
        <v>29834</v>
      </c>
      <c r="B110" t="s">
        <v>278</v>
      </c>
      <c r="C110" t="s">
        <v>279</v>
      </c>
    </row>
    <row r="111" spans="1:3" x14ac:dyDescent="0.25">
      <c r="A111">
        <v>30159</v>
      </c>
      <c r="B111" t="s">
        <v>280</v>
      </c>
      <c r="C111" t="s">
        <v>281</v>
      </c>
    </row>
    <row r="112" spans="1:3" x14ac:dyDescent="0.25">
      <c r="A112">
        <v>30912</v>
      </c>
      <c r="B112" t="s">
        <v>282</v>
      </c>
      <c r="C112" t="s">
        <v>283</v>
      </c>
    </row>
    <row r="113" spans="1:3" x14ac:dyDescent="0.25">
      <c r="A113">
        <v>30960</v>
      </c>
      <c r="B113" t="s">
        <v>284</v>
      </c>
      <c r="C113" t="s">
        <v>285</v>
      </c>
    </row>
    <row r="114" spans="1:3" x14ac:dyDescent="0.25">
      <c r="A114">
        <v>30966</v>
      </c>
      <c r="B114" t="s">
        <v>286</v>
      </c>
      <c r="C114" t="s">
        <v>287</v>
      </c>
    </row>
    <row r="115" spans="1:3" x14ac:dyDescent="0.25">
      <c r="A115">
        <v>30971</v>
      </c>
      <c r="B115" t="s">
        <v>29</v>
      </c>
      <c r="C115" t="s">
        <v>288</v>
      </c>
    </row>
    <row r="116" spans="1:3" x14ac:dyDescent="0.25">
      <c r="A116">
        <v>31042</v>
      </c>
      <c r="B116" t="s">
        <v>289</v>
      </c>
      <c r="C116" t="s">
        <v>290</v>
      </c>
    </row>
    <row r="117" spans="1:3" x14ac:dyDescent="0.25">
      <c r="A117">
        <v>31305</v>
      </c>
      <c r="B117" t="s">
        <v>291</v>
      </c>
      <c r="C117" t="s">
        <v>292</v>
      </c>
    </row>
    <row r="118" spans="1:3" x14ac:dyDescent="0.25">
      <c r="A118">
        <v>31395</v>
      </c>
      <c r="B118" t="s">
        <v>293</v>
      </c>
      <c r="C118" t="s">
        <v>294</v>
      </c>
    </row>
    <row r="119" spans="1:3" x14ac:dyDescent="0.25">
      <c r="A119">
        <v>31784</v>
      </c>
      <c r="B119" t="s">
        <v>295</v>
      </c>
      <c r="C119" t="s">
        <v>296</v>
      </c>
    </row>
    <row r="120" spans="1:3" x14ac:dyDescent="0.25">
      <c r="A120">
        <v>31857</v>
      </c>
      <c r="B120" t="s">
        <v>297</v>
      </c>
      <c r="C120" t="s">
        <v>298</v>
      </c>
    </row>
    <row r="121" spans="1:3" x14ac:dyDescent="0.25">
      <c r="A121">
        <v>32570</v>
      </c>
      <c r="B121" t="s">
        <v>30</v>
      </c>
      <c r="C121" t="s">
        <v>299</v>
      </c>
    </row>
    <row r="122" spans="1:3" x14ac:dyDescent="0.25">
      <c r="A122">
        <v>32631</v>
      </c>
      <c r="B122" t="s">
        <v>300</v>
      </c>
      <c r="C122" t="s">
        <v>301</v>
      </c>
    </row>
    <row r="123" spans="1:3" x14ac:dyDescent="0.25">
      <c r="A123">
        <v>32916</v>
      </c>
      <c r="B123" t="s">
        <v>302</v>
      </c>
      <c r="C123" t="s">
        <v>303</v>
      </c>
    </row>
    <row r="124" spans="1:3" x14ac:dyDescent="0.25">
      <c r="A124">
        <v>32963</v>
      </c>
      <c r="B124" t="s">
        <v>304</v>
      </c>
      <c r="C124" t="s">
        <v>305</v>
      </c>
    </row>
    <row r="125" spans="1:3" x14ac:dyDescent="0.25">
      <c r="A125">
        <v>33114</v>
      </c>
      <c r="B125" t="s">
        <v>306</v>
      </c>
      <c r="C125" t="s">
        <v>307</v>
      </c>
    </row>
    <row r="126" spans="1:3" x14ac:dyDescent="0.25">
      <c r="A126">
        <v>33148</v>
      </c>
      <c r="B126" t="s">
        <v>308</v>
      </c>
      <c r="C126" t="s">
        <v>309</v>
      </c>
    </row>
    <row r="127" spans="1:3" x14ac:dyDescent="0.25">
      <c r="A127">
        <v>33151</v>
      </c>
      <c r="B127" t="s">
        <v>310</v>
      </c>
      <c r="C127" t="s">
        <v>311</v>
      </c>
    </row>
    <row r="128" spans="1:3" x14ac:dyDescent="0.25">
      <c r="A128">
        <v>33409</v>
      </c>
      <c r="B128" t="s">
        <v>312</v>
      </c>
      <c r="C128" t="s">
        <v>313</v>
      </c>
    </row>
    <row r="129" spans="1:3" x14ac:dyDescent="0.25">
      <c r="A129">
        <v>33575</v>
      </c>
      <c r="B129" t="s">
        <v>314</v>
      </c>
      <c r="C129" t="s">
        <v>315</v>
      </c>
    </row>
    <row r="130" spans="1:3" x14ac:dyDescent="0.25">
      <c r="A130">
        <v>33894</v>
      </c>
      <c r="B130" t="s">
        <v>31</v>
      </c>
      <c r="C130" t="s">
        <v>316</v>
      </c>
    </row>
    <row r="131" spans="1:3" x14ac:dyDescent="0.25">
      <c r="A131">
        <v>34163</v>
      </c>
      <c r="B131" t="s">
        <v>317</v>
      </c>
      <c r="C131" t="s">
        <v>318</v>
      </c>
    </row>
    <row r="132" spans="1:3" x14ac:dyDescent="0.25">
      <c r="A132">
        <v>34169</v>
      </c>
      <c r="B132" t="s">
        <v>319</v>
      </c>
      <c r="C132" t="s">
        <v>320</v>
      </c>
    </row>
    <row r="133" spans="1:3" x14ac:dyDescent="0.25">
      <c r="A133">
        <v>34253</v>
      </c>
      <c r="B133" t="s">
        <v>34</v>
      </c>
      <c r="C133" t="s">
        <v>321</v>
      </c>
    </row>
    <row r="134" spans="1:3" x14ac:dyDescent="0.25">
      <c r="A134">
        <v>34301</v>
      </c>
      <c r="B134" t="s">
        <v>322</v>
      </c>
      <c r="C134" t="s">
        <v>323</v>
      </c>
    </row>
    <row r="135" spans="1:3" x14ac:dyDescent="0.25">
      <c r="A135">
        <v>34304</v>
      </c>
      <c r="B135" t="s">
        <v>324</v>
      </c>
      <c r="C135" t="s">
        <v>325</v>
      </c>
    </row>
    <row r="136" spans="1:3" x14ac:dyDescent="0.25">
      <c r="A136">
        <v>35359</v>
      </c>
      <c r="B136" t="s">
        <v>326</v>
      </c>
      <c r="C136" t="s">
        <v>327</v>
      </c>
    </row>
    <row r="137" spans="1:3" x14ac:dyDescent="0.25">
      <c r="A137">
        <v>35420</v>
      </c>
      <c r="B137" t="s">
        <v>328</v>
      </c>
      <c r="C137" t="s">
        <v>329</v>
      </c>
    </row>
    <row r="138" spans="1:3" x14ac:dyDescent="0.25">
      <c r="A138">
        <v>35506</v>
      </c>
      <c r="B138" t="s">
        <v>32</v>
      </c>
      <c r="C138" t="s">
        <v>330</v>
      </c>
    </row>
    <row r="139" spans="1:3" x14ac:dyDescent="0.25">
      <c r="A139">
        <v>36173</v>
      </c>
      <c r="B139" t="s">
        <v>331</v>
      </c>
      <c r="C139" t="s">
        <v>332</v>
      </c>
    </row>
    <row r="140" spans="1:3" x14ac:dyDescent="0.25">
      <c r="A140">
        <v>36255</v>
      </c>
      <c r="B140" t="s">
        <v>333</v>
      </c>
      <c r="C140" t="s">
        <v>334</v>
      </c>
    </row>
    <row r="141" spans="1:3" x14ac:dyDescent="0.25">
      <c r="A141">
        <v>36364</v>
      </c>
      <c r="B141" t="s">
        <v>335</v>
      </c>
      <c r="C141" t="s">
        <v>336</v>
      </c>
    </row>
    <row r="142" spans="1:3" x14ac:dyDescent="0.25">
      <c r="A142">
        <v>36629</v>
      </c>
      <c r="B142" t="s">
        <v>337</v>
      </c>
      <c r="C142" t="s">
        <v>338</v>
      </c>
    </row>
    <row r="143" spans="1:3" x14ac:dyDescent="0.25">
      <c r="A143">
        <v>38030</v>
      </c>
      <c r="B143" t="s">
        <v>35</v>
      </c>
      <c r="C143" t="s">
        <v>339</v>
      </c>
    </row>
    <row r="144" spans="1:3" x14ac:dyDescent="0.25">
      <c r="A144">
        <v>38398</v>
      </c>
      <c r="B144" t="s">
        <v>340</v>
      </c>
      <c r="C144" t="s">
        <v>341</v>
      </c>
    </row>
    <row r="145" spans="1:3" x14ac:dyDescent="0.25">
      <c r="A145">
        <v>39149</v>
      </c>
      <c r="B145" t="s">
        <v>342</v>
      </c>
      <c r="C145" t="s">
        <v>343</v>
      </c>
    </row>
    <row r="146" spans="1:3" x14ac:dyDescent="0.25">
      <c r="A146">
        <v>39198</v>
      </c>
      <c r="B146" t="s">
        <v>344</v>
      </c>
      <c r="C146" t="s">
        <v>345</v>
      </c>
    </row>
    <row r="147" spans="1:3" x14ac:dyDescent="0.25">
      <c r="A147">
        <v>39237</v>
      </c>
      <c r="B147" t="s">
        <v>37</v>
      </c>
      <c r="C147" t="s">
        <v>346</v>
      </c>
    </row>
    <row r="148" spans="1:3" x14ac:dyDescent="0.25">
      <c r="A148">
        <v>39366</v>
      </c>
      <c r="B148" t="s">
        <v>347</v>
      </c>
      <c r="C148" t="s">
        <v>348</v>
      </c>
    </row>
    <row r="149" spans="1:3" x14ac:dyDescent="0.25">
      <c r="A149">
        <v>39408</v>
      </c>
      <c r="B149" t="s">
        <v>349</v>
      </c>
      <c r="C149" t="s">
        <v>350</v>
      </c>
    </row>
    <row r="150" spans="1:3" x14ac:dyDescent="0.25">
      <c r="A150">
        <v>39611</v>
      </c>
      <c r="B150" t="s">
        <v>351</v>
      </c>
      <c r="C150" t="s">
        <v>352</v>
      </c>
    </row>
    <row r="151" spans="1:3" x14ac:dyDescent="0.25">
      <c r="A151">
        <v>39648</v>
      </c>
      <c r="B151" t="s">
        <v>353</v>
      </c>
      <c r="C151" t="s">
        <v>784</v>
      </c>
    </row>
    <row r="152" spans="1:3" x14ac:dyDescent="0.25">
      <c r="A152">
        <v>39756</v>
      </c>
      <c r="B152" t="s">
        <v>354</v>
      </c>
      <c r="C152" t="s">
        <v>355</v>
      </c>
    </row>
    <row r="153" spans="1:3" x14ac:dyDescent="0.25">
      <c r="A153">
        <v>39806</v>
      </c>
      <c r="B153" t="s">
        <v>356</v>
      </c>
      <c r="C153" t="s">
        <v>357</v>
      </c>
    </row>
    <row r="154" spans="1:3" x14ac:dyDescent="0.25">
      <c r="A154">
        <v>39814</v>
      </c>
      <c r="B154" t="s">
        <v>358</v>
      </c>
      <c r="C154" t="s">
        <v>359</v>
      </c>
    </row>
    <row r="155" spans="1:3" x14ac:dyDescent="0.25">
      <c r="A155">
        <v>39933</v>
      </c>
      <c r="B155" t="s">
        <v>360</v>
      </c>
      <c r="C155" t="s">
        <v>361</v>
      </c>
    </row>
    <row r="156" spans="1:3" x14ac:dyDescent="0.25">
      <c r="A156">
        <v>40169</v>
      </c>
      <c r="B156" t="s">
        <v>38</v>
      </c>
      <c r="C156" t="s">
        <v>362</v>
      </c>
    </row>
    <row r="157" spans="1:3" x14ac:dyDescent="0.25">
      <c r="A157">
        <v>40214</v>
      </c>
      <c r="B157" t="s">
        <v>363</v>
      </c>
      <c r="C157" t="s">
        <v>364</v>
      </c>
    </row>
    <row r="158" spans="1:3" x14ac:dyDescent="0.25">
      <c r="A158">
        <v>41335</v>
      </c>
      <c r="B158" t="s">
        <v>365</v>
      </c>
      <c r="C158" t="s">
        <v>366</v>
      </c>
    </row>
    <row r="159" spans="1:3" x14ac:dyDescent="0.25">
      <c r="A159">
        <v>41546</v>
      </c>
      <c r="B159" t="s">
        <v>367</v>
      </c>
      <c r="C159" t="s">
        <v>368</v>
      </c>
    </row>
    <row r="160" spans="1:3" x14ac:dyDescent="0.25">
      <c r="A160">
        <v>41551</v>
      </c>
      <c r="B160" t="s">
        <v>369</v>
      </c>
      <c r="C160" t="s">
        <v>370</v>
      </c>
    </row>
    <row r="161" spans="1:3" x14ac:dyDescent="0.25">
      <c r="A161">
        <v>42031</v>
      </c>
      <c r="B161" t="s">
        <v>371</v>
      </c>
      <c r="C161" t="s">
        <v>372</v>
      </c>
    </row>
    <row r="162" spans="1:3" x14ac:dyDescent="0.25">
      <c r="A162">
        <v>42526</v>
      </c>
      <c r="B162" t="s">
        <v>373</v>
      </c>
      <c r="C162" t="s">
        <v>374</v>
      </c>
    </row>
    <row r="163" spans="1:3" x14ac:dyDescent="0.25">
      <c r="A163">
        <v>42600</v>
      </c>
      <c r="B163" t="s">
        <v>375</v>
      </c>
      <c r="C163" t="s">
        <v>376</v>
      </c>
    </row>
    <row r="164" spans="1:3" x14ac:dyDescent="0.25">
      <c r="A164">
        <v>42761</v>
      </c>
      <c r="B164" t="s">
        <v>39</v>
      </c>
      <c r="C164" t="s">
        <v>377</v>
      </c>
    </row>
    <row r="165" spans="1:3" x14ac:dyDescent="0.25">
      <c r="A165">
        <v>43189</v>
      </c>
      <c r="B165" t="s">
        <v>378</v>
      </c>
      <c r="C165" t="s">
        <v>379</v>
      </c>
    </row>
    <row r="166" spans="1:3" x14ac:dyDescent="0.25">
      <c r="A166">
        <v>43881</v>
      </c>
      <c r="B166" t="s">
        <v>380</v>
      </c>
      <c r="C166" t="s">
        <v>381</v>
      </c>
    </row>
    <row r="167" spans="1:3" x14ac:dyDescent="0.25">
      <c r="A167">
        <v>44018</v>
      </c>
      <c r="B167" t="s">
        <v>382</v>
      </c>
      <c r="C167" t="s">
        <v>383</v>
      </c>
    </row>
    <row r="168" spans="1:3" x14ac:dyDescent="0.25">
      <c r="A168">
        <v>44454</v>
      </c>
      <c r="B168" t="s">
        <v>384</v>
      </c>
      <c r="C168" t="s">
        <v>385</v>
      </c>
    </row>
    <row r="169" spans="1:3" x14ac:dyDescent="0.25">
      <c r="A169">
        <v>44476</v>
      </c>
      <c r="B169" t="s">
        <v>386</v>
      </c>
      <c r="C169" t="s">
        <v>387</v>
      </c>
    </row>
    <row r="170" spans="1:3" x14ac:dyDescent="0.25">
      <c r="A170">
        <v>44741</v>
      </c>
      <c r="B170" t="s">
        <v>388</v>
      </c>
      <c r="C170" t="s">
        <v>389</v>
      </c>
    </row>
    <row r="171" spans="1:3" x14ac:dyDescent="0.25">
      <c r="A171">
        <v>44793</v>
      </c>
      <c r="B171" t="s">
        <v>41</v>
      </c>
      <c r="C171" t="s">
        <v>390</v>
      </c>
    </row>
    <row r="172" spans="1:3" x14ac:dyDescent="0.25">
      <c r="A172">
        <v>45049</v>
      </c>
      <c r="B172" t="s">
        <v>391</v>
      </c>
      <c r="C172" t="s">
        <v>392</v>
      </c>
    </row>
    <row r="173" spans="1:3" x14ac:dyDescent="0.25">
      <c r="A173">
        <v>45110</v>
      </c>
      <c r="B173" t="s">
        <v>393</v>
      </c>
      <c r="C173" t="s">
        <v>394</v>
      </c>
    </row>
    <row r="174" spans="1:3" x14ac:dyDescent="0.25">
      <c r="A174">
        <v>45283</v>
      </c>
      <c r="B174" t="s">
        <v>395</v>
      </c>
      <c r="C174" t="s">
        <v>396</v>
      </c>
    </row>
    <row r="175" spans="1:3" x14ac:dyDescent="0.25">
      <c r="A175">
        <v>45948</v>
      </c>
      <c r="B175" t="s">
        <v>397</v>
      </c>
      <c r="C175" t="s">
        <v>398</v>
      </c>
    </row>
    <row r="176" spans="1:3" x14ac:dyDescent="0.25">
      <c r="A176">
        <v>46878</v>
      </c>
      <c r="B176" t="s">
        <v>399</v>
      </c>
      <c r="C176" t="s">
        <v>400</v>
      </c>
    </row>
    <row r="177" spans="1:3" x14ac:dyDescent="0.25">
      <c r="A177">
        <v>47054</v>
      </c>
      <c r="B177" t="s">
        <v>401</v>
      </c>
      <c r="C177" t="s">
        <v>402</v>
      </c>
    </row>
    <row r="178" spans="1:3" x14ac:dyDescent="0.25">
      <c r="A178">
        <v>47056</v>
      </c>
      <c r="B178" t="s">
        <v>403</v>
      </c>
      <c r="C178" t="s">
        <v>404</v>
      </c>
    </row>
    <row r="179" spans="1:3" x14ac:dyDescent="0.25">
      <c r="A179">
        <v>47102</v>
      </c>
      <c r="B179" t="s">
        <v>405</v>
      </c>
      <c r="C179" t="s">
        <v>406</v>
      </c>
    </row>
    <row r="180" spans="1:3" x14ac:dyDescent="0.25">
      <c r="A180">
        <v>47352</v>
      </c>
      <c r="B180" t="s">
        <v>407</v>
      </c>
      <c r="C180" t="s">
        <v>408</v>
      </c>
    </row>
    <row r="181" spans="1:3" x14ac:dyDescent="0.25">
      <c r="A181">
        <v>47811</v>
      </c>
      <c r="B181" t="s">
        <v>785</v>
      </c>
      <c r="C181" t="s">
        <v>409</v>
      </c>
    </row>
    <row r="182" spans="1:3" x14ac:dyDescent="0.25">
      <c r="A182">
        <v>48501</v>
      </c>
      <c r="B182" t="s">
        <v>410</v>
      </c>
      <c r="C182" t="s">
        <v>411</v>
      </c>
    </row>
    <row r="183" spans="1:3" x14ac:dyDescent="0.25">
      <c r="A183">
        <v>48502</v>
      </c>
      <c r="B183" t="s">
        <v>412</v>
      </c>
      <c r="C183" t="s">
        <v>413</v>
      </c>
    </row>
    <row r="184" spans="1:3" x14ac:dyDescent="0.25">
      <c r="A184">
        <v>48510</v>
      </c>
      <c r="B184" t="s">
        <v>414</v>
      </c>
      <c r="C184" t="s">
        <v>415</v>
      </c>
    </row>
    <row r="185" spans="1:3" x14ac:dyDescent="0.25">
      <c r="A185">
        <v>48976</v>
      </c>
      <c r="B185" t="s">
        <v>416</v>
      </c>
      <c r="C185" t="s">
        <v>417</v>
      </c>
    </row>
    <row r="186" spans="1:3" x14ac:dyDescent="0.25">
      <c r="A186">
        <v>49041</v>
      </c>
      <c r="B186" t="s">
        <v>418</v>
      </c>
      <c r="C186" t="s">
        <v>419</v>
      </c>
    </row>
    <row r="187" spans="1:3" x14ac:dyDescent="0.25">
      <c r="A187">
        <v>49052</v>
      </c>
      <c r="B187" t="s">
        <v>420</v>
      </c>
      <c r="C187" t="s">
        <v>421</v>
      </c>
    </row>
    <row r="188" spans="1:3" x14ac:dyDescent="0.25">
      <c r="A188">
        <v>49507</v>
      </c>
      <c r="B188" t="s">
        <v>422</v>
      </c>
      <c r="C188" t="s">
        <v>423</v>
      </c>
    </row>
    <row r="189" spans="1:3" x14ac:dyDescent="0.25">
      <c r="A189">
        <v>49751</v>
      </c>
      <c r="B189" t="s">
        <v>424</v>
      </c>
      <c r="C189" t="s">
        <v>425</v>
      </c>
    </row>
    <row r="190" spans="1:3" x14ac:dyDescent="0.25">
      <c r="A190">
        <v>49755</v>
      </c>
      <c r="B190" t="s">
        <v>426</v>
      </c>
      <c r="C190" t="s">
        <v>427</v>
      </c>
    </row>
    <row r="191" spans="1:3" x14ac:dyDescent="0.25">
      <c r="A191">
        <v>50823</v>
      </c>
      <c r="B191" t="s">
        <v>428</v>
      </c>
      <c r="C191" t="s">
        <v>429</v>
      </c>
    </row>
    <row r="192" spans="1:3" x14ac:dyDescent="0.25">
      <c r="A192">
        <v>50827</v>
      </c>
      <c r="B192" t="s">
        <v>43</v>
      </c>
      <c r="C192" t="s">
        <v>430</v>
      </c>
    </row>
    <row r="193" spans="1:3" x14ac:dyDescent="0.25">
      <c r="A193">
        <v>51165</v>
      </c>
      <c r="B193" t="s">
        <v>44</v>
      </c>
      <c r="C193" t="s">
        <v>431</v>
      </c>
    </row>
    <row r="194" spans="1:3" x14ac:dyDescent="0.25">
      <c r="A194">
        <v>51220</v>
      </c>
      <c r="B194" t="s">
        <v>822</v>
      </c>
      <c r="C194" t="s">
        <v>823</v>
      </c>
    </row>
    <row r="195" spans="1:3" x14ac:dyDescent="0.25">
      <c r="A195">
        <v>52346</v>
      </c>
      <c r="B195" t="s">
        <v>432</v>
      </c>
      <c r="C195" t="s">
        <v>433</v>
      </c>
    </row>
    <row r="196" spans="1:3" x14ac:dyDescent="0.25">
      <c r="A196">
        <v>52549</v>
      </c>
      <c r="B196" t="s">
        <v>434</v>
      </c>
      <c r="C196" t="s">
        <v>435</v>
      </c>
    </row>
    <row r="197" spans="1:3" x14ac:dyDescent="0.25">
      <c r="A197">
        <v>52592</v>
      </c>
      <c r="B197" t="s">
        <v>436</v>
      </c>
      <c r="C197" t="s">
        <v>803</v>
      </c>
    </row>
    <row r="198" spans="1:3" x14ac:dyDescent="0.25">
      <c r="A198">
        <v>53178</v>
      </c>
      <c r="B198" t="s">
        <v>437</v>
      </c>
      <c r="C198" t="s">
        <v>438</v>
      </c>
    </row>
    <row r="199" spans="1:3" x14ac:dyDescent="0.25">
      <c r="A199">
        <v>53357</v>
      </c>
      <c r="B199" t="s">
        <v>786</v>
      </c>
      <c r="C199" t="s">
        <v>787</v>
      </c>
    </row>
    <row r="200" spans="1:3" x14ac:dyDescent="0.25">
      <c r="A200">
        <v>53471</v>
      </c>
      <c r="B200" t="s">
        <v>439</v>
      </c>
      <c r="C200" t="s">
        <v>440</v>
      </c>
    </row>
    <row r="201" spans="1:3" x14ac:dyDescent="0.25">
      <c r="A201">
        <v>53732</v>
      </c>
      <c r="B201" t="s">
        <v>45</v>
      </c>
      <c r="C201" t="s">
        <v>441</v>
      </c>
    </row>
    <row r="202" spans="1:3" x14ac:dyDescent="0.25">
      <c r="A202">
        <v>54438</v>
      </c>
      <c r="B202" t="s">
        <v>442</v>
      </c>
      <c r="C202" t="s">
        <v>443</v>
      </c>
    </row>
    <row r="203" spans="1:3" x14ac:dyDescent="0.25">
      <c r="A203">
        <v>54472</v>
      </c>
      <c r="B203" t="s">
        <v>46</v>
      </c>
      <c r="C203" t="s">
        <v>444</v>
      </c>
    </row>
    <row r="204" spans="1:3" x14ac:dyDescent="0.25">
      <c r="A204">
        <v>54576</v>
      </c>
      <c r="B204" t="s">
        <v>445</v>
      </c>
      <c r="C204" t="s">
        <v>446</v>
      </c>
    </row>
    <row r="205" spans="1:3" x14ac:dyDescent="0.25">
      <c r="A205">
        <v>54951</v>
      </c>
      <c r="B205" t="s">
        <v>47</v>
      </c>
      <c r="C205" t="s">
        <v>447</v>
      </c>
    </row>
    <row r="206" spans="1:3" x14ac:dyDescent="0.25">
      <c r="A206">
        <v>55122</v>
      </c>
      <c r="B206" t="s">
        <v>448</v>
      </c>
      <c r="C206" t="s">
        <v>449</v>
      </c>
    </row>
    <row r="207" spans="1:3" x14ac:dyDescent="0.25">
      <c r="A207">
        <v>56179</v>
      </c>
      <c r="B207" t="s">
        <v>450</v>
      </c>
      <c r="C207" t="s">
        <v>451</v>
      </c>
    </row>
    <row r="208" spans="1:3" x14ac:dyDescent="0.25">
      <c r="A208">
        <v>56639</v>
      </c>
      <c r="B208" t="s">
        <v>452</v>
      </c>
      <c r="C208" t="s">
        <v>453</v>
      </c>
    </row>
    <row r="209" spans="1:3" x14ac:dyDescent="0.25">
      <c r="A209">
        <v>56891</v>
      </c>
      <c r="B209" t="s">
        <v>454</v>
      </c>
      <c r="C209" t="s">
        <v>455</v>
      </c>
    </row>
    <row r="210" spans="1:3" x14ac:dyDescent="0.25">
      <c r="A210">
        <v>58518</v>
      </c>
      <c r="B210" t="s">
        <v>48</v>
      </c>
      <c r="C210" t="s">
        <v>456</v>
      </c>
    </row>
    <row r="211" spans="1:3" x14ac:dyDescent="0.25">
      <c r="A211">
        <v>59103</v>
      </c>
      <c r="B211" t="s">
        <v>457</v>
      </c>
      <c r="C211" t="s">
        <v>458</v>
      </c>
    </row>
    <row r="212" spans="1:3" x14ac:dyDescent="0.25">
      <c r="A212">
        <v>59138</v>
      </c>
      <c r="B212" t="s">
        <v>49</v>
      </c>
      <c r="C212" t="s">
        <v>459</v>
      </c>
    </row>
    <row r="213" spans="1:3" x14ac:dyDescent="0.25">
      <c r="A213">
        <v>59145</v>
      </c>
      <c r="B213" t="s">
        <v>460</v>
      </c>
      <c r="C213" t="s">
        <v>461</v>
      </c>
    </row>
    <row r="214" spans="1:3" x14ac:dyDescent="0.25">
      <c r="A214">
        <v>59351</v>
      </c>
      <c r="B214" t="s">
        <v>462</v>
      </c>
      <c r="C214" t="s">
        <v>463</v>
      </c>
    </row>
    <row r="215" spans="1:3" x14ac:dyDescent="0.25">
      <c r="A215">
        <v>59689</v>
      </c>
      <c r="B215" t="s">
        <v>50</v>
      </c>
      <c r="C215" t="s">
        <v>464</v>
      </c>
    </row>
    <row r="216" spans="1:3" x14ac:dyDescent="0.25">
      <c r="A216">
        <v>59807</v>
      </c>
      <c r="B216" t="s">
        <v>465</v>
      </c>
      <c r="C216" t="s">
        <v>466</v>
      </c>
    </row>
    <row r="217" spans="1:3" x14ac:dyDescent="0.25">
      <c r="A217">
        <v>60083</v>
      </c>
      <c r="B217" t="s">
        <v>467</v>
      </c>
      <c r="C217" t="s">
        <v>468</v>
      </c>
    </row>
    <row r="218" spans="1:3" x14ac:dyDescent="0.25">
      <c r="A218">
        <v>60330</v>
      </c>
      <c r="B218" t="s">
        <v>51</v>
      </c>
      <c r="C218" t="s">
        <v>469</v>
      </c>
    </row>
    <row r="219" spans="1:3" x14ac:dyDescent="0.25">
      <c r="A219">
        <v>60424</v>
      </c>
      <c r="B219" t="s">
        <v>52</v>
      </c>
      <c r="C219" t="s">
        <v>470</v>
      </c>
    </row>
    <row r="220" spans="1:3" x14ac:dyDescent="0.25">
      <c r="A220">
        <v>60428</v>
      </c>
      <c r="B220" t="s">
        <v>53</v>
      </c>
      <c r="C220" t="s">
        <v>471</v>
      </c>
    </row>
    <row r="221" spans="1:3" x14ac:dyDescent="0.25">
      <c r="A221">
        <v>60500</v>
      </c>
      <c r="B221" t="s">
        <v>472</v>
      </c>
      <c r="C221" t="s">
        <v>473</v>
      </c>
    </row>
    <row r="222" spans="1:3" x14ac:dyDescent="0.25">
      <c r="A222">
        <v>60537</v>
      </c>
      <c r="B222" t="s">
        <v>54</v>
      </c>
      <c r="C222" t="s">
        <v>474</v>
      </c>
    </row>
    <row r="223" spans="1:3" x14ac:dyDescent="0.25">
      <c r="A223">
        <v>60910</v>
      </c>
      <c r="B223" t="s">
        <v>475</v>
      </c>
      <c r="C223" t="s">
        <v>476</v>
      </c>
    </row>
    <row r="224" spans="1:3" x14ac:dyDescent="0.25">
      <c r="A224">
        <v>61003</v>
      </c>
      <c r="B224" t="s">
        <v>55</v>
      </c>
      <c r="C224" t="s">
        <v>477</v>
      </c>
    </row>
    <row r="225" spans="1:3" x14ac:dyDescent="0.25">
      <c r="A225">
        <v>61503</v>
      </c>
      <c r="B225" t="s">
        <v>478</v>
      </c>
      <c r="C225" t="s">
        <v>479</v>
      </c>
    </row>
    <row r="226" spans="1:3" x14ac:dyDescent="0.25">
      <c r="A226">
        <v>68645</v>
      </c>
      <c r="B226" t="s">
        <v>480</v>
      </c>
      <c r="C226" t="s">
        <v>481</v>
      </c>
    </row>
    <row r="227" spans="1:3" x14ac:dyDescent="0.25">
      <c r="A227">
        <v>69873</v>
      </c>
      <c r="B227" t="s">
        <v>482</v>
      </c>
      <c r="C227" t="s">
        <v>483</v>
      </c>
    </row>
    <row r="228" spans="1:3" x14ac:dyDescent="0.25">
      <c r="A228">
        <v>70029</v>
      </c>
      <c r="B228" t="s">
        <v>484</v>
      </c>
      <c r="C228" t="s">
        <v>485</v>
      </c>
    </row>
    <row r="229" spans="1:3" x14ac:dyDescent="0.25">
      <c r="A229">
        <v>70158</v>
      </c>
      <c r="B229" t="s">
        <v>486</v>
      </c>
      <c r="C229" t="s">
        <v>487</v>
      </c>
    </row>
    <row r="230" spans="1:3" x14ac:dyDescent="0.25">
      <c r="A230">
        <v>70221</v>
      </c>
      <c r="B230" t="s">
        <v>56</v>
      </c>
      <c r="C230" t="s">
        <v>488</v>
      </c>
    </row>
    <row r="231" spans="1:3" x14ac:dyDescent="0.25">
      <c r="A231">
        <v>70751</v>
      </c>
      <c r="B231" t="s">
        <v>57</v>
      </c>
      <c r="C231" t="s">
        <v>489</v>
      </c>
    </row>
    <row r="232" spans="1:3" x14ac:dyDescent="0.25">
      <c r="A232">
        <v>70916</v>
      </c>
      <c r="B232" t="s">
        <v>490</v>
      </c>
      <c r="C232" t="s">
        <v>491</v>
      </c>
    </row>
    <row r="233" spans="1:3" x14ac:dyDescent="0.25">
      <c r="A233">
        <v>71715</v>
      </c>
      <c r="B233" t="s">
        <v>492</v>
      </c>
      <c r="C233" t="s">
        <v>493</v>
      </c>
    </row>
    <row r="234" spans="1:3" x14ac:dyDescent="0.25">
      <c r="A234">
        <v>72062</v>
      </c>
      <c r="B234" t="s">
        <v>494</v>
      </c>
      <c r="C234" t="s">
        <v>495</v>
      </c>
    </row>
    <row r="235" spans="1:3" x14ac:dyDescent="0.25">
      <c r="A235">
        <v>72079</v>
      </c>
      <c r="B235" t="s">
        <v>58</v>
      </c>
      <c r="C235" t="s">
        <v>496</v>
      </c>
    </row>
    <row r="236" spans="1:3" x14ac:dyDescent="0.25">
      <c r="A236">
        <v>72084</v>
      </c>
      <c r="B236" t="s">
        <v>497</v>
      </c>
      <c r="C236" t="s">
        <v>498</v>
      </c>
    </row>
    <row r="237" spans="1:3" x14ac:dyDescent="0.25">
      <c r="A237">
        <v>72188</v>
      </c>
      <c r="B237" t="s">
        <v>499</v>
      </c>
      <c r="C237" t="s">
        <v>500</v>
      </c>
    </row>
    <row r="238" spans="1:3" x14ac:dyDescent="0.25">
      <c r="A238">
        <v>72555</v>
      </c>
      <c r="B238" t="s">
        <v>501</v>
      </c>
      <c r="C238" t="s">
        <v>502</v>
      </c>
    </row>
    <row r="239" spans="1:3" x14ac:dyDescent="0.25">
      <c r="A239">
        <v>72598</v>
      </c>
      <c r="B239" t="s">
        <v>59</v>
      </c>
      <c r="C239" t="s">
        <v>503</v>
      </c>
    </row>
    <row r="240" spans="1:3" x14ac:dyDescent="0.25">
      <c r="A240">
        <v>72624</v>
      </c>
      <c r="B240" t="s">
        <v>504</v>
      </c>
      <c r="C240" t="s">
        <v>505</v>
      </c>
    </row>
    <row r="241" spans="1:3" x14ac:dyDescent="0.25">
      <c r="A241">
        <v>73300</v>
      </c>
      <c r="B241" t="s">
        <v>506</v>
      </c>
      <c r="C241" t="s">
        <v>507</v>
      </c>
    </row>
    <row r="242" spans="1:3" x14ac:dyDescent="0.25">
      <c r="A242">
        <v>74538</v>
      </c>
      <c r="B242" t="s">
        <v>508</v>
      </c>
      <c r="C242" t="s">
        <v>509</v>
      </c>
    </row>
    <row r="243" spans="1:3" x14ac:dyDescent="0.25">
      <c r="A243">
        <v>74592</v>
      </c>
      <c r="B243" t="s">
        <v>510</v>
      </c>
      <c r="C243" t="s">
        <v>511</v>
      </c>
    </row>
    <row r="244" spans="1:3" x14ac:dyDescent="0.25">
      <c r="A244">
        <v>74845</v>
      </c>
      <c r="B244" t="s">
        <v>512</v>
      </c>
      <c r="C244" t="s">
        <v>513</v>
      </c>
    </row>
    <row r="245" spans="1:3" x14ac:dyDescent="0.25">
      <c r="A245">
        <v>75076</v>
      </c>
      <c r="B245" t="s">
        <v>514</v>
      </c>
      <c r="C245" t="s">
        <v>515</v>
      </c>
    </row>
    <row r="246" spans="1:3" x14ac:dyDescent="0.25">
      <c r="A246">
        <v>75143</v>
      </c>
      <c r="B246" t="s">
        <v>516</v>
      </c>
      <c r="C246" t="s">
        <v>517</v>
      </c>
    </row>
    <row r="247" spans="1:3" x14ac:dyDescent="0.25">
      <c r="A247">
        <v>75216</v>
      </c>
      <c r="B247" t="s">
        <v>518</v>
      </c>
      <c r="C247" t="s">
        <v>519</v>
      </c>
    </row>
    <row r="248" spans="1:3" x14ac:dyDescent="0.25">
      <c r="A248">
        <v>75386</v>
      </c>
      <c r="B248" t="s">
        <v>60</v>
      </c>
      <c r="C248" t="s">
        <v>520</v>
      </c>
    </row>
    <row r="249" spans="1:3" x14ac:dyDescent="0.25">
      <c r="A249">
        <v>75613</v>
      </c>
      <c r="B249" t="s">
        <v>0</v>
      </c>
      <c r="C249" t="s">
        <v>521</v>
      </c>
    </row>
    <row r="250" spans="1:3" x14ac:dyDescent="0.25">
      <c r="A250">
        <v>75798</v>
      </c>
      <c r="B250" t="s">
        <v>522</v>
      </c>
      <c r="C250" t="s">
        <v>523</v>
      </c>
    </row>
    <row r="251" spans="1:3" x14ac:dyDescent="0.25">
      <c r="A251">
        <v>75849</v>
      </c>
      <c r="B251" t="s">
        <v>524</v>
      </c>
      <c r="C251" t="s">
        <v>525</v>
      </c>
    </row>
    <row r="252" spans="1:3" x14ac:dyDescent="0.25">
      <c r="A252">
        <v>76020</v>
      </c>
      <c r="B252" t="s">
        <v>526</v>
      </c>
      <c r="C252" t="s">
        <v>527</v>
      </c>
    </row>
    <row r="253" spans="1:3" x14ac:dyDescent="0.25">
      <c r="A253">
        <v>76393</v>
      </c>
      <c r="B253" t="s">
        <v>61</v>
      </c>
      <c r="C253" t="s">
        <v>528</v>
      </c>
    </row>
    <row r="254" spans="1:3" x14ac:dyDescent="0.25">
      <c r="A254">
        <v>76666</v>
      </c>
      <c r="B254" t="s">
        <v>529</v>
      </c>
      <c r="C254" t="s">
        <v>530</v>
      </c>
    </row>
    <row r="255" spans="1:3" x14ac:dyDescent="0.25">
      <c r="A255">
        <v>76815</v>
      </c>
      <c r="B255" t="s">
        <v>531</v>
      </c>
      <c r="C255" t="s">
        <v>532</v>
      </c>
    </row>
    <row r="256" spans="1:3" x14ac:dyDescent="0.25">
      <c r="A256">
        <v>76863</v>
      </c>
      <c r="B256" t="s">
        <v>533</v>
      </c>
      <c r="C256" t="s">
        <v>534</v>
      </c>
    </row>
    <row r="257" spans="1:3" x14ac:dyDescent="0.25">
      <c r="A257">
        <v>77100</v>
      </c>
      <c r="B257" t="s">
        <v>535</v>
      </c>
      <c r="C257" t="s">
        <v>536</v>
      </c>
    </row>
    <row r="258" spans="1:3" x14ac:dyDescent="0.25">
      <c r="A258">
        <v>77140</v>
      </c>
      <c r="B258" t="s">
        <v>36</v>
      </c>
      <c r="C258" t="s">
        <v>537</v>
      </c>
    </row>
    <row r="259" spans="1:3" x14ac:dyDescent="0.25">
      <c r="A259">
        <v>77168</v>
      </c>
      <c r="B259" t="s">
        <v>63</v>
      </c>
      <c r="C259" t="s">
        <v>538</v>
      </c>
    </row>
    <row r="260" spans="1:3" x14ac:dyDescent="0.25">
      <c r="A260">
        <v>77393</v>
      </c>
      <c r="B260" t="s">
        <v>539</v>
      </c>
      <c r="C260" t="s">
        <v>540</v>
      </c>
    </row>
    <row r="261" spans="1:3" x14ac:dyDescent="0.25">
      <c r="A261">
        <v>77694</v>
      </c>
      <c r="B261" t="s">
        <v>541</v>
      </c>
      <c r="C261" t="s">
        <v>542</v>
      </c>
    </row>
    <row r="262" spans="1:3" x14ac:dyDescent="0.25">
      <c r="A262">
        <v>77840</v>
      </c>
      <c r="B262" t="s">
        <v>62</v>
      </c>
      <c r="C262" t="s">
        <v>543</v>
      </c>
    </row>
    <row r="263" spans="1:3" x14ac:dyDescent="0.25">
      <c r="A263">
        <v>78130</v>
      </c>
      <c r="B263" t="s">
        <v>64</v>
      </c>
      <c r="C263" t="s">
        <v>544</v>
      </c>
    </row>
    <row r="264" spans="1:3" x14ac:dyDescent="0.25">
      <c r="A264">
        <v>78150</v>
      </c>
      <c r="B264" t="s">
        <v>65</v>
      </c>
      <c r="C264" t="s">
        <v>545</v>
      </c>
    </row>
    <row r="265" spans="1:3" x14ac:dyDescent="0.25">
      <c r="A265">
        <v>78328</v>
      </c>
      <c r="B265" t="s">
        <v>546</v>
      </c>
      <c r="C265" t="s">
        <v>547</v>
      </c>
    </row>
    <row r="266" spans="1:3" x14ac:dyDescent="0.25">
      <c r="A266">
        <v>78331</v>
      </c>
      <c r="B266" t="s">
        <v>66</v>
      </c>
      <c r="C266" t="s">
        <v>548</v>
      </c>
    </row>
    <row r="267" spans="1:3" x14ac:dyDescent="0.25">
      <c r="A267">
        <v>78430</v>
      </c>
      <c r="B267" t="s">
        <v>549</v>
      </c>
      <c r="C267" t="s">
        <v>550</v>
      </c>
    </row>
    <row r="268" spans="1:3" x14ac:dyDescent="0.25">
      <c r="A268">
        <v>78513</v>
      </c>
      <c r="B268" t="s">
        <v>551</v>
      </c>
      <c r="C268" t="s">
        <v>552</v>
      </c>
    </row>
    <row r="269" spans="1:3" x14ac:dyDescent="0.25">
      <c r="A269">
        <v>78730</v>
      </c>
      <c r="B269" t="s">
        <v>553</v>
      </c>
      <c r="C269" t="s">
        <v>554</v>
      </c>
    </row>
    <row r="270" spans="1:3" x14ac:dyDescent="0.25">
      <c r="A270">
        <v>78857</v>
      </c>
      <c r="B270" t="s">
        <v>555</v>
      </c>
      <c r="C270" t="s">
        <v>556</v>
      </c>
    </row>
    <row r="271" spans="1:3" x14ac:dyDescent="0.25">
      <c r="A271">
        <v>79831</v>
      </c>
      <c r="B271" t="s">
        <v>557</v>
      </c>
      <c r="C271" t="s">
        <v>558</v>
      </c>
    </row>
    <row r="272" spans="1:3" x14ac:dyDescent="0.25">
      <c r="A272">
        <v>79869</v>
      </c>
      <c r="B272" t="s">
        <v>559</v>
      </c>
      <c r="C272" t="s">
        <v>560</v>
      </c>
    </row>
    <row r="273" spans="1:3" x14ac:dyDescent="0.25">
      <c r="A273">
        <v>80638</v>
      </c>
      <c r="B273" t="s">
        <v>561</v>
      </c>
      <c r="C273" t="s">
        <v>562</v>
      </c>
    </row>
    <row r="274" spans="1:3" x14ac:dyDescent="0.25">
      <c r="A274">
        <v>80645</v>
      </c>
      <c r="B274" t="s">
        <v>563</v>
      </c>
      <c r="C274" t="s">
        <v>564</v>
      </c>
    </row>
    <row r="275" spans="1:3" x14ac:dyDescent="0.25">
      <c r="A275">
        <v>80935</v>
      </c>
      <c r="B275" t="s">
        <v>68</v>
      </c>
      <c r="C275" t="s">
        <v>565</v>
      </c>
    </row>
    <row r="276" spans="1:3" x14ac:dyDescent="0.25">
      <c r="A276">
        <v>80973</v>
      </c>
      <c r="B276" t="s">
        <v>566</v>
      </c>
      <c r="C276" t="s">
        <v>567</v>
      </c>
    </row>
    <row r="277" spans="1:3" x14ac:dyDescent="0.25">
      <c r="A277">
        <v>80978</v>
      </c>
      <c r="B277" t="s">
        <v>568</v>
      </c>
      <c r="C277" t="s">
        <v>569</v>
      </c>
    </row>
    <row r="278" spans="1:3" x14ac:dyDescent="0.25">
      <c r="A278">
        <v>81525</v>
      </c>
      <c r="B278" t="s">
        <v>570</v>
      </c>
      <c r="C278" t="s">
        <v>571</v>
      </c>
    </row>
    <row r="279" spans="1:3" x14ac:dyDescent="0.25">
      <c r="A279">
        <v>81530</v>
      </c>
      <c r="B279" t="s">
        <v>572</v>
      </c>
      <c r="C279" t="s">
        <v>573</v>
      </c>
    </row>
    <row r="280" spans="1:3" x14ac:dyDescent="0.25">
      <c r="A280">
        <v>82145</v>
      </c>
      <c r="B280" t="s">
        <v>804</v>
      </c>
      <c r="C280" t="s">
        <v>805</v>
      </c>
    </row>
    <row r="281" spans="1:3" x14ac:dyDescent="0.25">
      <c r="A281">
        <v>82316</v>
      </c>
      <c r="B281" t="s">
        <v>574</v>
      </c>
      <c r="C281" t="s">
        <v>575</v>
      </c>
    </row>
    <row r="282" spans="1:3" x14ac:dyDescent="0.25">
      <c r="A282">
        <v>82449</v>
      </c>
      <c r="B282" t="s">
        <v>576</v>
      </c>
      <c r="C282" t="s">
        <v>577</v>
      </c>
    </row>
    <row r="283" spans="1:3" x14ac:dyDescent="0.25">
      <c r="A283">
        <v>82853</v>
      </c>
      <c r="B283" t="s">
        <v>578</v>
      </c>
      <c r="C283" t="s">
        <v>579</v>
      </c>
    </row>
    <row r="284" spans="1:3" x14ac:dyDescent="0.25">
      <c r="A284">
        <v>83992</v>
      </c>
      <c r="B284" t="s">
        <v>580</v>
      </c>
      <c r="C284" t="s">
        <v>581</v>
      </c>
    </row>
    <row r="285" spans="1:3" x14ac:dyDescent="0.25">
      <c r="A285">
        <v>84408</v>
      </c>
      <c r="B285" t="s">
        <v>33</v>
      </c>
      <c r="C285" t="s">
        <v>582</v>
      </c>
    </row>
    <row r="286" spans="1:3" x14ac:dyDescent="0.25">
      <c r="A286">
        <v>84484</v>
      </c>
      <c r="B286" t="s">
        <v>583</v>
      </c>
      <c r="C286" t="s">
        <v>584</v>
      </c>
    </row>
    <row r="287" spans="1:3" x14ac:dyDescent="0.25">
      <c r="A287">
        <v>85133</v>
      </c>
      <c r="B287" t="s">
        <v>806</v>
      </c>
      <c r="C287" t="s">
        <v>807</v>
      </c>
    </row>
    <row r="288" spans="1:3" x14ac:dyDescent="0.25">
      <c r="A288">
        <v>86633</v>
      </c>
      <c r="B288" t="s">
        <v>585</v>
      </c>
      <c r="C288" t="s">
        <v>586</v>
      </c>
    </row>
    <row r="289" spans="1:3" x14ac:dyDescent="0.25">
      <c r="A289">
        <v>87002</v>
      </c>
      <c r="B289" t="s">
        <v>587</v>
      </c>
      <c r="C289" t="s">
        <v>588</v>
      </c>
    </row>
    <row r="290" spans="1:3" x14ac:dyDescent="0.25">
      <c r="A290">
        <v>89448</v>
      </c>
      <c r="B290" t="s">
        <v>589</v>
      </c>
      <c r="C290" t="s">
        <v>590</v>
      </c>
    </row>
    <row r="291" spans="1:3" x14ac:dyDescent="0.25">
      <c r="A291">
        <v>90818</v>
      </c>
      <c r="B291" t="s">
        <v>591</v>
      </c>
      <c r="C291" t="s">
        <v>592</v>
      </c>
    </row>
    <row r="292" spans="1:3" x14ac:dyDescent="0.25">
      <c r="A292">
        <v>101544</v>
      </c>
      <c r="B292" t="s">
        <v>593</v>
      </c>
      <c r="C292" t="s">
        <v>594</v>
      </c>
    </row>
    <row r="293" spans="1:3" x14ac:dyDescent="0.25">
      <c r="A293">
        <v>102089</v>
      </c>
      <c r="B293" t="s">
        <v>595</v>
      </c>
      <c r="C293" t="s">
        <v>596</v>
      </c>
    </row>
    <row r="294" spans="1:3" x14ac:dyDescent="0.25">
      <c r="A294">
        <v>102100</v>
      </c>
      <c r="B294" t="s">
        <v>597</v>
      </c>
      <c r="C294" t="s">
        <v>598</v>
      </c>
    </row>
    <row r="295" spans="1:3" x14ac:dyDescent="0.25">
      <c r="A295">
        <v>108289</v>
      </c>
      <c r="B295" t="s">
        <v>599</v>
      </c>
      <c r="C295" t="s">
        <v>600</v>
      </c>
    </row>
    <row r="296" spans="1:3" x14ac:dyDescent="0.25">
      <c r="A296">
        <v>111353</v>
      </c>
      <c r="B296" t="s">
        <v>601</v>
      </c>
      <c r="C296" t="s">
        <v>602</v>
      </c>
    </row>
    <row r="297" spans="1:3" x14ac:dyDescent="0.25">
      <c r="A297">
        <v>172475</v>
      </c>
      <c r="B297" t="s">
        <v>603</v>
      </c>
      <c r="C297" t="s">
        <v>604</v>
      </c>
    </row>
    <row r="298" spans="1:3" x14ac:dyDescent="0.25">
      <c r="A298">
        <v>173360</v>
      </c>
      <c r="B298" t="s">
        <v>605</v>
      </c>
      <c r="C298" t="s">
        <v>606</v>
      </c>
    </row>
    <row r="299" spans="1:3" x14ac:dyDescent="0.25">
      <c r="A299">
        <v>173367</v>
      </c>
      <c r="B299" t="s">
        <v>607</v>
      </c>
      <c r="C299" t="s">
        <v>608</v>
      </c>
    </row>
    <row r="300" spans="1:3" x14ac:dyDescent="0.25">
      <c r="A300">
        <v>176083</v>
      </c>
      <c r="B300" t="s">
        <v>808</v>
      </c>
      <c r="C300" t="s">
        <v>809</v>
      </c>
    </row>
    <row r="301" spans="1:3" x14ac:dyDescent="0.25">
      <c r="A301">
        <v>196593</v>
      </c>
      <c r="B301" t="s">
        <v>609</v>
      </c>
      <c r="C301" t="s">
        <v>610</v>
      </c>
    </row>
    <row r="302" spans="1:3" x14ac:dyDescent="0.25">
      <c r="A302">
        <v>197429</v>
      </c>
      <c r="B302" t="s">
        <v>611</v>
      </c>
      <c r="C302" t="s">
        <v>612</v>
      </c>
    </row>
    <row r="303" spans="1:3" x14ac:dyDescent="0.25">
      <c r="A303">
        <v>200232</v>
      </c>
      <c r="B303" t="s">
        <v>613</v>
      </c>
      <c r="C303" t="s">
        <v>614</v>
      </c>
    </row>
    <row r="304" spans="1:3" x14ac:dyDescent="0.25">
      <c r="A304">
        <v>200233</v>
      </c>
      <c r="B304" t="s">
        <v>615</v>
      </c>
      <c r="C304" t="s">
        <v>616</v>
      </c>
    </row>
    <row r="305" spans="1:3" x14ac:dyDescent="0.25">
      <c r="A305">
        <v>221381</v>
      </c>
      <c r="B305" t="s">
        <v>617</v>
      </c>
      <c r="C305" t="s">
        <v>618</v>
      </c>
    </row>
    <row r="306" spans="1:3" x14ac:dyDescent="0.25">
      <c r="A306">
        <v>230935</v>
      </c>
      <c r="B306" t="s">
        <v>824</v>
      </c>
      <c r="C306" t="s">
        <v>825</v>
      </c>
    </row>
    <row r="307" spans="1:3" x14ac:dyDescent="0.25">
      <c r="A307">
        <v>236854</v>
      </c>
      <c r="B307" t="s">
        <v>619</v>
      </c>
      <c r="C307" t="s">
        <v>620</v>
      </c>
    </row>
    <row r="308" spans="1:3" x14ac:dyDescent="0.25">
      <c r="A308">
        <v>256591</v>
      </c>
      <c r="B308" t="s">
        <v>621</v>
      </c>
      <c r="C308" t="s">
        <v>622</v>
      </c>
    </row>
    <row r="309" spans="1:3" x14ac:dyDescent="0.25">
      <c r="A309">
        <v>293487</v>
      </c>
      <c r="B309" t="s">
        <v>623</v>
      </c>
      <c r="C309" t="s">
        <v>624</v>
      </c>
    </row>
    <row r="310" spans="1:3" x14ac:dyDescent="0.25">
      <c r="A310">
        <v>295090</v>
      </c>
      <c r="B310" t="s">
        <v>14</v>
      </c>
      <c r="C310" t="s">
        <v>625</v>
      </c>
    </row>
    <row r="311" spans="1:3" x14ac:dyDescent="0.25">
      <c r="A311">
        <v>299006</v>
      </c>
      <c r="B311" t="s">
        <v>626</v>
      </c>
      <c r="C311" t="s">
        <v>627</v>
      </c>
    </row>
    <row r="312" spans="1:3" x14ac:dyDescent="0.25">
      <c r="A312">
        <v>301760</v>
      </c>
      <c r="B312" t="s">
        <v>628</v>
      </c>
      <c r="C312" t="s">
        <v>629</v>
      </c>
    </row>
    <row r="313" spans="1:3" x14ac:dyDescent="0.25">
      <c r="A313">
        <v>313538</v>
      </c>
      <c r="B313" t="s">
        <v>630</v>
      </c>
      <c r="C313" t="s">
        <v>631</v>
      </c>
    </row>
    <row r="314" spans="1:3" x14ac:dyDescent="0.25">
      <c r="A314">
        <v>324443</v>
      </c>
      <c r="B314" t="s">
        <v>632</v>
      </c>
      <c r="C314" t="s">
        <v>815</v>
      </c>
    </row>
    <row r="315" spans="1:3" x14ac:dyDescent="0.25">
      <c r="A315">
        <v>334249</v>
      </c>
      <c r="B315" t="s">
        <v>633</v>
      </c>
      <c r="C315" t="s">
        <v>634</v>
      </c>
    </row>
    <row r="316" spans="1:3" x14ac:dyDescent="0.25">
      <c r="A316">
        <v>334738</v>
      </c>
      <c r="B316" t="s">
        <v>826</v>
      </c>
      <c r="C316" t="s">
        <v>827</v>
      </c>
    </row>
    <row r="317" spans="1:3" x14ac:dyDescent="0.25">
      <c r="A317">
        <v>341239</v>
      </c>
      <c r="B317" t="s">
        <v>635</v>
      </c>
      <c r="C317" t="s">
        <v>636</v>
      </c>
    </row>
    <row r="318" spans="1:3" x14ac:dyDescent="0.25">
      <c r="A318">
        <v>341635</v>
      </c>
      <c r="B318" t="s">
        <v>637</v>
      </c>
      <c r="C318" t="s">
        <v>638</v>
      </c>
    </row>
    <row r="319" spans="1:3" x14ac:dyDescent="0.25">
      <c r="A319">
        <v>347787</v>
      </c>
      <c r="B319" t="s">
        <v>639</v>
      </c>
      <c r="C319" t="s">
        <v>640</v>
      </c>
    </row>
    <row r="320" spans="1:3" x14ac:dyDescent="0.25">
      <c r="A320">
        <v>348149</v>
      </c>
      <c r="B320" t="s">
        <v>641</v>
      </c>
      <c r="C320" t="s">
        <v>642</v>
      </c>
    </row>
    <row r="321" spans="1:3" x14ac:dyDescent="0.25">
      <c r="A321">
        <v>349894</v>
      </c>
      <c r="B321" t="s">
        <v>643</v>
      </c>
      <c r="C321" t="s">
        <v>644</v>
      </c>
    </row>
    <row r="322" spans="1:3" x14ac:dyDescent="0.25">
      <c r="A322">
        <v>361812</v>
      </c>
      <c r="B322" t="s">
        <v>645</v>
      </c>
      <c r="C322" t="s">
        <v>646</v>
      </c>
    </row>
    <row r="323" spans="1:3" x14ac:dyDescent="0.25">
      <c r="A323">
        <v>367667</v>
      </c>
      <c r="B323" t="s">
        <v>647</v>
      </c>
      <c r="C323" t="s">
        <v>648</v>
      </c>
    </row>
    <row r="324" spans="1:3" x14ac:dyDescent="0.25">
      <c r="A324">
        <v>368238</v>
      </c>
      <c r="B324" t="s">
        <v>649</v>
      </c>
      <c r="C324" t="s">
        <v>650</v>
      </c>
    </row>
    <row r="325" spans="1:3" x14ac:dyDescent="0.25">
      <c r="A325">
        <v>10906094</v>
      </c>
      <c r="B325" t="s">
        <v>651</v>
      </c>
      <c r="C325" t="s">
        <v>652</v>
      </c>
    </row>
    <row r="326" spans="1:3" x14ac:dyDescent="0.25">
      <c r="A326">
        <v>10911889</v>
      </c>
      <c r="B326" t="s">
        <v>653</v>
      </c>
      <c r="C326" t="s">
        <v>654</v>
      </c>
    </row>
    <row r="327" spans="1:3" x14ac:dyDescent="0.25">
      <c r="A327">
        <v>10912502</v>
      </c>
      <c r="B327" t="s">
        <v>655</v>
      </c>
      <c r="C327" t="s">
        <v>656</v>
      </c>
    </row>
    <row r="328" spans="1:3" x14ac:dyDescent="0.25">
      <c r="A328">
        <v>10922049</v>
      </c>
      <c r="B328" t="s">
        <v>67</v>
      </c>
      <c r="C328" t="s">
        <v>657</v>
      </c>
    </row>
    <row r="329" spans="1:3" x14ac:dyDescent="0.25">
      <c r="A329">
        <v>10925285</v>
      </c>
      <c r="B329" t="s">
        <v>658</v>
      </c>
      <c r="C329" t="s">
        <v>659</v>
      </c>
    </row>
    <row r="330" spans="1:3" x14ac:dyDescent="0.25">
      <c r="A330">
        <v>10929280</v>
      </c>
      <c r="B330" t="s">
        <v>660</v>
      </c>
      <c r="C330" t="s">
        <v>661</v>
      </c>
    </row>
    <row r="331" spans="1:3" x14ac:dyDescent="0.25">
      <c r="A331">
        <v>10933004</v>
      </c>
      <c r="B331" t="s">
        <v>662</v>
      </c>
      <c r="C331" t="s">
        <v>810</v>
      </c>
    </row>
    <row r="332" spans="1:3" x14ac:dyDescent="0.25">
      <c r="A332">
        <v>10960289</v>
      </c>
      <c r="B332" t="s">
        <v>663</v>
      </c>
      <c r="C332" t="s">
        <v>664</v>
      </c>
    </row>
    <row r="333" spans="1:3" x14ac:dyDescent="0.25">
      <c r="A333">
        <v>10964461</v>
      </c>
      <c r="B333" t="s">
        <v>665</v>
      </c>
      <c r="C333" t="s">
        <v>666</v>
      </c>
    </row>
    <row r="334" spans="1:3" x14ac:dyDescent="0.25">
      <c r="A334">
        <v>10964695</v>
      </c>
      <c r="B334" t="s">
        <v>667</v>
      </c>
      <c r="C334" t="s">
        <v>668</v>
      </c>
    </row>
    <row r="335" spans="1:3" x14ac:dyDescent="0.25">
      <c r="A335">
        <v>10964953</v>
      </c>
      <c r="B335" t="s">
        <v>669</v>
      </c>
      <c r="C335" t="s">
        <v>670</v>
      </c>
    </row>
    <row r="336" spans="1:3" x14ac:dyDescent="0.25">
      <c r="A336">
        <v>10965897</v>
      </c>
      <c r="B336" t="s">
        <v>671</v>
      </c>
      <c r="C336" t="s">
        <v>672</v>
      </c>
    </row>
    <row r="337" spans="1:3" x14ac:dyDescent="0.25">
      <c r="A337">
        <v>10967710</v>
      </c>
      <c r="B337" t="s">
        <v>828</v>
      </c>
      <c r="C337" t="s">
        <v>829</v>
      </c>
    </row>
    <row r="338" spans="1:3" x14ac:dyDescent="0.25">
      <c r="A338">
        <v>10973512</v>
      </c>
      <c r="B338" t="s">
        <v>673</v>
      </c>
      <c r="C338" t="s">
        <v>674</v>
      </c>
    </row>
    <row r="339" spans="1:3" x14ac:dyDescent="0.25">
      <c r="A339">
        <v>10986008</v>
      </c>
      <c r="B339" t="s">
        <v>675</v>
      </c>
      <c r="C339" t="s">
        <v>676</v>
      </c>
    </row>
    <row r="340" spans="1:3" x14ac:dyDescent="0.25">
      <c r="A340">
        <v>10986749</v>
      </c>
      <c r="B340" t="s">
        <v>42</v>
      </c>
      <c r="C340" t="s">
        <v>677</v>
      </c>
    </row>
    <row r="341" spans="1:3" x14ac:dyDescent="0.25">
      <c r="A341">
        <v>10989137</v>
      </c>
      <c r="B341" t="s">
        <v>678</v>
      </c>
      <c r="C341" t="s">
        <v>679</v>
      </c>
    </row>
    <row r="342" spans="1:3" x14ac:dyDescent="0.25">
      <c r="A342">
        <v>10999309</v>
      </c>
      <c r="B342" t="s">
        <v>680</v>
      </c>
      <c r="C342" t="s">
        <v>681</v>
      </c>
    </row>
    <row r="343" spans="1:3" x14ac:dyDescent="0.25">
      <c r="A343">
        <v>11003173</v>
      </c>
      <c r="B343" t="s">
        <v>682</v>
      </c>
      <c r="C343" t="s">
        <v>683</v>
      </c>
    </row>
    <row r="344" spans="1:3" x14ac:dyDescent="0.25">
      <c r="A344">
        <v>11003221</v>
      </c>
      <c r="B344" t="s">
        <v>684</v>
      </c>
      <c r="C344" t="s">
        <v>685</v>
      </c>
    </row>
    <row r="345" spans="1:3" x14ac:dyDescent="0.25">
      <c r="A345">
        <v>11005116</v>
      </c>
      <c r="B345" t="s">
        <v>686</v>
      </c>
      <c r="C345" t="s">
        <v>687</v>
      </c>
    </row>
    <row r="346" spans="1:3" x14ac:dyDescent="0.25">
      <c r="A346">
        <v>11005828</v>
      </c>
      <c r="B346" t="s">
        <v>688</v>
      </c>
      <c r="C346" t="s">
        <v>689</v>
      </c>
    </row>
    <row r="347" spans="1:3" x14ac:dyDescent="0.25">
      <c r="A347">
        <v>11007121</v>
      </c>
      <c r="B347" t="s">
        <v>830</v>
      </c>
      <c r="C347" t="s">
        <v>831</v>
      </c>
    </row>
    <row r="348" spans="1:3" x14ac:dyDescent="0.25">
      <c r="A348">
        <v>11007137</v>
      </c>
      <c r="B348" t="s">
        <v>690</v>
      </c>
      <c r="C348" t="s">
        <v>691</v>
      </c>
    </row>
    <row r="349" spans="1:3" x14ac:dyDescent="0.25">
      <c r="A349">
        <v>11009782</v>
      </c>
      <c r="B349" t="s">
        <v>26</v>
      </c>
      <c r="C349" t="s">
        <v>692</v>
      </c>
    </row>
    <row r="350" spans="1:3" x14ac:dyDescent="0.25">
      <c r="A350">
        <v>11013522</v>
      </c>
      <c r="B350" t="s">
        <v>69</v>
      </c>
      <c r="C350" t="s">
        <v>693</v>
      </c>
    </row>
    <row r="351" spans="1:3" x14ac:dyDescent="0.25">
      <c r="A351">
        <v>11016729</v>
      </c>
      <c r="B351" t="s">
        <v>694</v>
      </c>
      <c r="C351" t="s">
        <v>695</v>
      </c>
    </row>
    <row r="352" spans="1:3" x14ac:dyDescent="0.25">
      <c r="A352">
        <v>11022055</v>
      </c>
      <c r="B352" t="s">
        <v>696</v>
      </c>
      <c r="C352" t="s">
        <v>697</v>
      </c>
    </row>
    <row r="353" spans="1:3" x14ac:dyDescent="0.25">
      <c r="A353">
        <v>11022862</v>
      </c>
      <c r="B353" t="s">
        <v>698</v>
      </c>
      <c r="C353" t="s">
        <v>699</v>
      </c>
    </row>
    <row r="354" spans="1:3" x14ac:dyDescent="0.25">
      <c r="A354">
        <v>11023372</v>
      </c>
      <c r="B354" t="s">
        <v>700</v>
      </c>
      <c r="C354" t="s">
        <v>701</v>
      </c>
    </row>
    <row r="355" spans="1:3" x14ac:dyDescent="0.25">
      <c r="A355">
        <v>11026293</v>
      </c>
      <c r="B355" t="s">
        <v>702</v>
      </c>
      <c r="C355" t="s">
        <v>703</v>
      </c>
    </row>
    <row r="356" spans="1:3" x14ac:dyDescent="0.25">
      <c r="A356">
        <v>11031505</v>
      </c>
      <c r="B356" t="s">
        <v>704</v>
      </c>
      <c r="C356" t="s">
        <v>705</v>
      </c>
    </row>
    <row r="357" spans="1:3" x14ac:dyDescent="0.25">
      <c r="A357">
        <v>11036288</v>
      </c>
      <c r="B357" t="s">
        <v>706</v>
      </c>
      <c r="C357" t="s">
        <v>707</v>
      </c>
    </row>
    <row r="358" spans="1:3" x14ac:dyDescent="0.25">
      <c r="A358">
        <v>11062963</v>
      </c>
      <c r="B358" t="s">
        <v>708</v>
      </c>
      <c r="C358" t="s">
        <v>709</v>
      </c>
    </row>
    <row r="359" spans="1:3" x14ac:dyDescent="0.25">
      <c r="A359">
        <v>11074333</v>
      </c>
      <c r="B359" t="s">
        <v>710</v>
      </c>
      <c r="C359" t="s">
        <v>711</v>
      </c>
    </row>
    <row r="360" spans="1:3" x14ac:dyDescent="0.25">
      <c r="A360">
        <v>11078466</v>
      </c>
      <c r="B360" t="s">
        <v>712</v>
      </c>
      <c r="C360" t="s">
        <v>713</v>
      </c>
    </row>
    <row r="361" spans="1:3" x14ac:dyDescent="0.25">
      <c r="A361">
        <v>11078928</v>
      </c>
      <c r="B361" t="s">
        <v>714</v>
      </c>
      <c r="C361" t="s">
        <v>715</v>
      </c>
    </row>
    <row r="362" spans="1:3" x14ac:dyDescent="0.25">
      <c r="A362">
        <v>11108460</v>
      </c>
      <c r="B362" t="s">
        <v>716</v>
      </c>
      <c r="C362" t="s">
        <v>788</v>
      </c>
    </row>
    <row r="363" spans="1:3" x14ac:dyDescent="0.25">
      <c r="A363">
        <v>11111190</v>
      </c>
      <c r="B363" t="s">
        <v>3</v>
      </c>
      <c r="C363" t="s">
        <v>717</v>
      </c>
    </row>
    <row r="364" spans="1:3" x14ac:dyDescent="0.25">
      <c r="A364">
        <v>11111386</v>
      </c>
      <c r="B364" t="s">
        <v>718</v>
      </c>
      <c r="C364" t="s">
        <v>719</v>
      </c>
    </row>
    <row r="365" spans="1:3" x14ac:dyDescent="0.25">
      <c r="A365">
        <v>11112206</v>
      </c>
      <c r="B365" t="s">
        <v>4</v>
      </c>
      <c r="C365" t="s">
        <v>720</v>
      </c>
    </row>
    <row r="366" spans="1:3" x14ac:dyDescent="0.25">
      <c r="A366">
        <v>11128902</v>
      </c>
      <c r="B366" t="s">
        <v>721</v>
      </c>
      <c r="C366" t="s">
        <v>722</v>
      </c>
    </row>
    <row r="367" spans="1:3" x14ac:dyDescent="0.25">
      <c r="A367">
        <v>11131175</v>
      </c>
      <c r="B367" t="s">
        <v>723</v>
      </c>
      <c r="C367" t="s">
        <v>724</v>
      </c>
    </row>
    <row r="368" spans="1:3" x14ac:dyDescent="0.25">
      <c r="A368">
        <v>11132438</v>
      </c>
      <c r="B368" t="s">
        <v>725</v>
      </c>
      <c r="C368" t="s">
        <v>726</v>
      </c>
    </row>
    <row r="369" spans="1:3" x14ac:dyDescent="0.25">
      <c r="A369">
        <v>11133542</v>
      </c>
      <c r="B369" t="s">
        <v>727</v>
      </c>
      <c r="C369" t="s">
        <v>728</v>
      </c>
    </row>
    <row r="370" spans="1:3" x14ac:dyDescent="0.25">
      <c r="A370">
        <v>11136514</v>
      </c>
      <c r="B370" t="s">
        <v>729</v>
      </c>
      <c r="C370" t="s">
        <v>730</v>
      </c>
    </row>
    <row r="371" spans="1:3" x14ac:dyDescent="0.25">
      <c r="A371">
        <v>11136533</v>
      </c>
      <c r="B371" t="s">
        <v>731</v>
      </c>
      <c r="C371" t="s">
        <v>732</v>
      </c>
    </row>
    <row r="372" spans="1:3" x14ac:dyDescent="0.25">
      <c r="A372">
        <v>11137598</v>
      </c>
      <c r="B372" t="s">
        <v>733</v>
      </c>
      <c r="C372" t="s">
        <v>734</v>
      </c>
    </row>
    <row r="373" spans="1:3" x14ac:dyDescent="0.25">
      <c r="A373">
        <v>11137816</v>
      </c>
      <c r="B373" t="s">
        <v>735</v>
      </c>
      <c r="C373" t="s">
        <v>736</v>
      </c>
    </row>
    <row r="374" spans="1:3" x14ac:dyDescent="0.25">
      <c r="A374">
        <v>11138544</v>
      </c>
      <c r="B374" t="s">
        <v>737</v>
      </c>
      <c r="C374" t="s">
        <v>738</v>
      </c>
    </row>
    <row r="375" spans="1:3" x14ac:dyDescent="0.25">
      <c r="A375">
        <v>11139960</v>
      </c>
      <c r="B375" t="s">
        <v>739</v>
      </c>
      <c r="C375" t="s">
        <v>740</v>
      </c>
    </row>
    <row r="376" spans="1:3" x14ac:dyDescent="0.25">
      <c r="A376">
        <v>11140772</v>
      </c>
      <c r="B376" t="s">
        <v>741</v>
      </c>
      <c r="C376" t="s">
        <v>742</v>
      </c>
    </row>
    <row r="377" spans="1:3" x14ac:dyDescent="0.25">
      <c r="A377">
        <v>11141179</v>
      </c>
      <c r="B377" t="s">
        <v>816</v>
      </c>
      <c r="C377" t="s">
        <v>817</v>
      </c>
    </row>
    <row r="378" spans="1:3" x14ac:dyDescent="0.25">
      <c r="A378">
        <v>11142848</v>
      </c>
      <c r="B378" t="s">
        <v>743</v>
      </c>
      <c r="C378" t="s">
        <v>744</v>
      </c>
    </row>
    <row r="379" spans="1:3" x14ac:dyDescent="0.25">
      <c r="A379">
        <v>11146914</v>
      </c>
      <c r="B379" t="s">
        <v>745</v>
      </c>
      <c r="C379" t="s">
        <v>746</v>
      </c>
    </row>
    <row r="380" spans="1:3" x14ac:dyDescent="0.25">
      <c r="A380">
        <v>11148377</v>
      </c>
      <c r="B380" t="s">
        <v>747</v>
      </c>
      <c r="C380" t="s">
        <v>748</v>
      </c>
    </row>
    <row r="381" spans="1:3" x14ac:dyDescent="0.25">
      <c r="A381">
        <v>11149455</v>
      </c>
      <c r="B381" t="s">
        <v>749</v>
      </c>
      <c r="C381" t="s">
        <v>750</v>
      </c>
    </row>
    <row r="382" spans="1:3" x14ac:dyDescent="0.25">
      <c r="A382">
        <v>11149585</v>
      </c>
      <c r="B382" t="s">
        <v>751</v>
      </c>
      <c r="C382" t="s">
        <v>752</v>
      </c>
    </row>
    <row r="383" spans="1:3" x14ac:dyDescent="0.25">
      <c r="A383">
        <v>11149710</v>
      </c>
      <c r="B383" t="s">
        <v>753</v>
      </c>
      <c r="C383" t="s">
        <v>754</v>
      </c>
    </row>
    <row r="384" spans="1:3" x14ac:dyDescent="0.25">
      <c r="A384">
        <v>11150901</v>
      </c>
      <c r="B384" t="s">
        <v>755</v>
      </c>
      <c r="C384" t="s">
        <v>756</v>
      </c>
    </row>
    <row r="385" spans="1:3" x14ac:dyDescent="0.25">
      <c r="A385">
        <v>11151910</v>
      </c>
      <c r="B385" t="s">
        <v>789</v>
      </c>
      <c r="C385" t="s">
        <v>790</v>
      </c>
    </row>
    <row r="386" spans="1:3" x14ac:dyDescent="0.25">
      <c r="A386">
        <v>11152042</v>
      </c>
      <c r="B386" t="s">
        <v>757</v>
      </c>
      <c r="C386" t="s">
        <v>758</v>
      </c>
    </row>
    <row r="387" spans="1:3" x14ac:dyDescent="0.25">
      <c r="A387">
        <v>11152141</v>
      </c>
      <c r="B387" t="s">
        <v>759</v>
      </c>
      <c r="C387" t="s">
        <v>760</v>
      </c>
    </row>
    <row r="388" spans="1:3" x14ac:dyDescent="0.25">
      <c r="A388">
        <v>11156455</v>
      </c>
      <c r="B388" t="s">
        <v>761</v>
      </c>
      <c r="C388" t="s">
        <v>762</v>
      </c>
    </row>
    <row r="389" spans="1:3" x14ac:dyDescent="0.25">
      <c r="A389">
        <v>11156617</v>
      </c>
      <c r="B389" t="s">
        <v>763</v>
      </c>
      <c r="C389" t="s">
        <v>764</v>
      </c>
    </row>
    <row r="390" spans="1:3" x14ac:dyDescent="0.25">
      <c r="A390">
        <v>11157323</v>
      </c>
      <c r="B390" t="s">
        <v>765</v>
      </c>
      <c r="C390" t="s">
        <v>766</v>
      </c>
    </row>
    <row r="391" spans="1:3" x14ac:dyDescent="0.25">
      <c r="A391">
        <v>11158987</v>
      </c>
      <c r="B391" t="s">
        <v>767</v>
      </c>
      <c r="C391" t="s">
        <v>768</v>
      </c>
    </row>
    <row r="392" spans="1:3" x14ac:dyDescent="0.25">
      <c r="A392">
        <v>11159248</v>
      </c>
      <c r="B392" t="s">
        <v>769</v>
      </c>
      <c r="C392" t="s">
        <v>770</v>
      </c>
    </row>
    <row r="393" spans="1:3" x14ac:dyDescent="0.25">
      <c r="A393">
        <v>11159902</v>
      </c>
      <c r="B393" t="s">
        <v>771</v>
      </c>
      <c r="C393" t="s">
        <v>772</v>
      </c>
    </row>
    <row r="394" spans="1:3" x14ac:dyDescent="0.25">
      <c r="A394">
        <v>11160007</v>
      </c>
      <c r="B394" t="s">
        <v>25</v>
      </c>
      <c r="C394" t="s">
        <v>773</v>
      </c>
    </row>
    <row r="395" spans="1:3" x14ac:dyDescent="0.25">
      <c r="A395">
        <v>11160124</v>
      </c>
      <c r="B395" t="s">
        <v>774</v>
      </c>
      <c r="C395" t="s">
        <v>775</v>
      </c>
    </row>
    <row r="396" spans="1:3" x14ac:dyDescent="0.25">
      <c r="A396">
        <v>11160791</v>
      </c>
      <c r="B396" t="s">
        <v>776</v>
      </c>
      <c r="C396" t="s">
        <v>777</v>
      </c>
    </row>
    <row r="397" spans="1:3" x14ac:dyDescent="0.25">
      <c r="A397">
        <v>11160950</v>
      </c>
      <c r="B397" t="s">
        <v>778</v>
      </c>
      <c r="C397" t="s">
        <v>779</v>
      </c>
    </row>
    <row r="398" spans="1:3" x14ac:dyDescent="0.25">
      <c r="A398">
        <v>11162698</v>
      </c>
      <c r="B398" t="s">
        <v>780</v>
      </c>
      <c r="C398" t="s">
        <v>781</v>
      </c>
    </row>
    <row r="399" spans="1:3" x14ac:dyDescent="0.25">
      <c r="A399">
        <v>11167134</v>
      </c>
      <c r="B399" t="s">
        <v>791</v>
      </c>
      <c r="C399" t="s">
        <v>792</v>
      </c>
    </row>
    <row r="400" spans="1:3" x14ac:dyDescent="0.25">
      <c r="A400">
        <v>11167151</v>
      </c>
      <c r="B400" t="s">
        <v>793</v>
      </c>
      <c r="C400" t="s">
        <v>794</v>
      </c>
    </row>
    <row r="401" spans="1:3" x14ac:dyDescent="0.25">
      <c r="A401">
        <v>11167570</v>
      </c>
      <c r="B401" t="s">
        <v>811</v>
      </c>
      <c r="C401" t="s">
        <v>812</v>
      </c>
    </row>
    <row r="402" spans="1:3" x14ac:dyDescent="0.25">
      <c r="A402">
        <v>11171070</v>
      </c>
      <c r="B402" t="s">
        <v>818</v>
      </c>
      <c r="C402" t="s">
        <v>819</v>
      </c>
    </row>
    <row r="403" spans="1:3" x14ac:dyDescent="0.25">
      <c r="A403">
        <v>11172499</v>
      </c>
      <c r="B403" t="s">
        <v>832</v>
      </c>
      <c r="C403" t="s">
        <v>833</v>
      </c>
    </row>
    <row r="404" spans="1:3" x14ac:dyDescent="0.25">
      <c r="A404">
        <v>50311</v>
      </c>
      <c r="B404" t="s">
        <v>795</v>
      </c>
      <c r="C404" t="s">
        <v>796</v>
      </c>
    </row>
    <row r="405" spans="1:3" x14ac:dyDescent="0.25">
      <c r="A405">
        <v>11113</v>
      </c>
      <c r="B405" t="s">
        <v>797</v>
      </c>
      <c r="C405" t="s">
        <v>798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Prices</vt:lpstr>
      <vt:lpstr>RealTickCodes</vt:lpstr>
      <vt:lpstr>TickerList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roley</dc:creator>
  <cp:lastModifiedBy>Ryan Oley</cp:lastModifiedBy>
  <dcterms:created xsi:type="dcterms:W3CDTF">2017-10-24T14:24:01Z</dcterms:created>
  <dcterms:modified xsi:type="dcterms:W3CDTF">2018-06-13T15:22:45Z</dcterms:modified>
</cp:coreProperties>
</file>